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ministracion\JORGELINA LENCINAS\AUTOMAT-OCME\LISTADOS SEMANALES\"/>
    </mc:Choice>
  </mc:AlternateContent>
  <bookViews>
    <workbookView xWindow="-120" yWindow="-120" windowWidth="20730" windowHeight="11160" tabRatio="906" firstSheet="15" activeTab="21"/>
  </bookViews>
  <sheets>
    <sheet name="CAMPO FUERTE" sheetId="13" state="hidden" r:id="rId1"/>
    <sheet name="AUTOMAT" sheetId="6" r:id="rId2"/>
    <sheet name="FLUVIOMAT" sheetId="2" r:id="rId3"/>
    <sheet name="INDUMAT" sheetId="4" r:id="rId4"/>
    <sheet name="ABSA" sheetId="7" r:id="rId5"/>
    <sheet name="ADESSO" sheetId="17" r:id="rId6"/>
    <sheet name="AGUAS RIONEGRINAS" sheetId="14" r:id="rId7"/>
    <sheet name="ALEMARSA" sheetId="25" r:id="rId8"/>
    <sheet name="COOP. COSERCO CORONDA" sheetId="24" r:id="rId9"/>
    <sheet name="COOP OB Y SERV ST TERESITA " sheetId="21" r:id="rId10"/>
    <sheet name="DESOB.ARGENTINA ASHIRA" sheetId="22" r:id="rId11"/>
    <sheet name="ENTE MUNIC SERV" sheetId="19" r:id="rId12"/>
    <sheet name="MUNIC BERAZATEGUI" sheetId="10" state="hidden" r:id="rId13"/>
    <sheet name="MUNIC JUNIN" sheetId="11" r:id="rId14"/>
    <sheet name="MUNIC SANTA ROSA" sheetId="23" r:id="rId15"/>
    <sheet name="MUNIC SAN MARTIN" sheetId="12" r:id="rId16"/>
    <sheet name="MUNIC TRES ARROYOS" sheetId="5" r:id="rId17"/>
    <sheet name="OB SANIT MDP" sheetId="15" r:id="rId18"/>
    <sheet name="SERV AGUA MISIONES" sheetId="18" r:id="rId19"/>
    <sheet name="SERV IBARRA" sheetId="9" r:id="rId20"/>
    <sheet name="SOC COOP" sheetId="16" state="hidden" r:id="rId21"/>
    <sheet name="RESUMEN 2026" sheetId="3" r:id="rId22"/>
    <sheet name="saldo tango" sheetId="20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3" l="1"/>
  <c r="C393" i="20"/>
  <c r="E21" i="11" l="1"/>
  <c r="F28" i="11"/>
  <c r="F47" i="4" l="1"/>
  <c r="F104" i="6"/>
  <c r="C382" i="20"/>
  <c r="E6" i="15" l="1"/>
  <c r="E7" i="15"/>
  <c r="F14" i="15"/>
  <c r="E5" i="15" l="1"/>
  <c r="C22" i="3"/>
  <c r="I4" i="25" l="1"/>
  <c r="C372" i="20" l="1"/>
  <c r="C13" i="3" l="1"/>
  <c r="E4" i="25"/>
  <c r="F9" i="25"/>
  <c r="I6" i="19" l="1"/>
  <c r="C362" i="20" l="1"/>
  <c r="E95" i="6" l="1"/>
  <c r="E96" i="6"/>
  <c r="E94" i="6"/>
  <c r="E40" i="4"/>
  <c r="C352" i="20" l="1"/>
  <c r="I39" i="7" l="1"/>
  <c r="E39" i="4" l="1"/>
  <c r="E93" i="6" l="1"/>
  <c r="C343" i="20" l="1"/>
  <c r="I4" i="24" l="1"/>
  <c r="F101" i="6" l="1"/>
  <c r="C333" i="20" l="1"/>
  <c r="C14" i="3" l="1"/>
  <c r="B14" i="3"/>
  <c r="E4" i="24"/>
  <c r="F9" i="24"/>
  <c r="E38" i="4" l="1"/>
  <c r="E91" i="6"/>
  <c r="E92" i="6"/>
  <c r="E88" i="6"/>
  <c r="E89" i="6"/>
  <c r="E90" i="6"/>
  <c r="E87" i="6"/>
  <c r="C322" i="20" l="1"/>
  <c r="I38" i="7" l="1"/>
  <c r="C311" i="20" l="1"/>
  <c r="C301" i="20" l="1"/>
  <c r="E39" i="7" l="1"/>
  <c r="C290" i="20" l="1"/>
  <c r="F11" i="9" l="1"/>
  <c r="I7" i="9"/>
  <c r="E7" i="9" l="1"/>
  <c r="E37" i="4" l="1"/>
  <c r="E86" i="6"/>
  <c r="E85" i="6"/>
  <c r="E84" i="6"/>
  <c r="E83" i="6"/>
  <c r="C279" i="20"/>
  <c r="F10" i="19"/>
  <c r="C267" i="20"/>
  <c r="I7" i="14"/>
  <c r="C255" i="20"/>
  <c r="E37" i="7"/>
  <c r="C20" i="3"/>
  <c r="B20" i="3"/>
  <c r="F10" i="23"/>
  <c r="I5" i="19"/>
  <c r="C242" i="20"/>
  <c r="C229" i="20"/>
  <c r="E36" i="4"/>
  <c r="E82" i="6"/>
  <c r="E80" i="6"/>
  <c r="E81" i="6"/>
  <c r="E79" i="6"/>
  <c r="E78" i="6"/>
  <c r="C215" i="20"/>
  <c r="E36" i="7"/>
  <c r="I20" i="11"/>
  <c r="C203" i="20"/>
  <c r="I35" i="7"/>
  <c r="I34" i="7"/>
  <c r="I32" i="7"/>
  <c r="C182" i="20"/>
  <c r="C191" i="20" s="1"/>
  <c r="C168" i="20"/>
  <c r="C177" i="20" s="1"/>
  <c r="I4" i="22"/>
  <c r="I15" i="11" l="1"/>
  <c r="C154" i="20"/>
  <c r="C164" i="20" s="1"/>
  <c r="E35" i="4"/>
  <c r="E75" i="6"/>
  <c r="E76" i="6"/>
  <c r="E77" i="6"/>
  <c r="E74" i="6"/>
  <c r="E73" i="6"/>
  <c r="F25" i="11"/>
  <c r="E20" i="11"/>
  <c r="B16" i="3"/>
  <c r="F8" i="22"/>
  <c r="F9" i="22" s="1"/>
  <c r="C16" i="3"/>
  <c r="E4" i="22"/>
  <c r="I19" i="11"/>
  <c r="F18" i="5" l="1"/>
  <c r="I14" i="5"/>
  <c r="C138" i="20" l="1"/>
  <c r="C148" i="20" s="1"/>
  <c r="E18" i="11" l="1"/>
  <c r="E17" i="11" l="1"/>
  <c r="I11" i="11" l="1"/>
  <c r="I16" i="11"/>
  <c r="C121" i="20" l="1"/>
  <c r="C132" i="20" s="1"/>
  <c r="C106" i="20" l="1"/>
  <c r="C117" i="20" s="1"/>
  <c r="E34" i="4"/>
  <c r="E72" i="6"/>
  <c r="E71" i="6"/>
  <c r="E70" i="6"/>
  <c r="E69" i="6"/>
  <c r="I11" i="5" l="1"/>
  <c r="E35" i="7"/>
  <c r="E34" i="7"/>
  <c r="E33" i="7"/>
  <c r="C91" i="20" l="1"/>
  <c r="C102" i="20" s="1"/>
  <c r="E16" i="11"/>
  <c r="E14" i="5" l="1"/>
  <c r="E13" i="5"/>
  <c r="E12" i="5" l="1"/>
  <c r="I31" i="7" l="1"/>
  <c r="I27" i="7"/>
  <c r="C76" i="20" l="1"/>
  <c r="C88" i="20"/>
  <c r="B15" i="3" l="1"/>
  <c r="C15" i="3"/>
  <c r="F9" i="21"/>
  <c r="E4" i="21"/>
  <c r="I4" i="21" s="1"/>
  <c r="B12" i="3"/>
  <c r="C12" i="3"/>
  <c r="E8" i="14"/>
  <c r="E32" i="7" l="1"/>
  <c r="C63" i="20" l="1"/>
  <c r="C73" i="20" s="1"/>
  <c r="E15" i="11" l="1"/>
  <c r="E14" i="11"/>
  <c r="E13" i="11" l="1"/>
  <c r="E11" i="5" l="1"/>
  <c r="C60" i="20" l="1"/>
  <c r="I25" i="7" l="1"/>
  <c r="I26" i="7"/>
  <c r="E31" i="7" l="1"/>
  <c r="E30" i="7" l="1"/>
  <c r="E33" i="4" l="1"/>
  <c r="I4" i="17" l="1"/>
  <c r="I4" i="19"/>
  <c r="C48" i="20" l="1"/>
  <c r="E28" i="7" l="1"/>
  <c r="E27" i="7" l="1"/>
  <c r="C28" i="20" l="1"/>
  <c r="C36" i="20" l="1"/>
  <c r="F24" i="7" l="1"/>
  <c r="I24" i="7" l="1"/>
  <c r="C12" i="20" l="1"/>
  <c r="C24" i="20"/>
  <c r="I12" i="11" l="1"/>
  <c r="E65" i="6" l="1"/>
  <c r="C9" i="3" l="1"/>
  <c r="C8" i="3"/>
  <c r="C7" i="3"/>
  <c r="E26" i="7" l="1"/>
  <c r="E25" i="7" l="1"/>
  <c r="E63" i="6" l="1"/>
  <c r="E64" i="6"/>
  <c r="E62" i="6"/>
  <c r="E32" i="4"/>
  <c r="E24" i="7" l="1"/>
  <c r="I4" i="18" l="1"/>
  <c r="E61" i="6" l="1"/>
  <c r="E60" i="6"/>
  <c r="E59" i="6"/>
  <c r="I23" i="7" l="1"/>
  <c r="C17" i="3" l="1"/>
  <c r="E4" i="19"/>
  <c r="F11" i="19"/>
  <c r="E30" i="4" l="1"/>
  <c r="I5" i="9" l="1"/>
  <c r="I6" i="9"/>
  <c r="E23" i="7" l="1"/>
  <c r="E22" i="7"/>
  <c r="C23" i="3" l="1"/>
  <c r="E4" i="18"/>
  <c r="F9" i="18"/>
  <c r="E57" i="6" l="1"/>
  <c r="E58" i="6"/>
  <c r="E56" i="6"/>
  <c r="E29" i="4"/>
  <c r="I10" i="5" l="1"/>
  <c r="E21" i="7" l="1"/>
  <c r="E9" i="5" l="1"/>
  <c r="E10" i="5"/>
  <c r="I20" i="7" l="1"/>
  <c r="I19" i="7"/>
  <c r="E11" i="11" l="1"/>
  <c r="E10" i="11"/>
  <c r="E9" i="11" l="1"/>
  <c r="E54" i="6" l="1"/>
  <c r="E55" i="6"/>
  <c r="E53" i="6"/>
  <c r="E28" i="4"/>
  <c r="E7" i="5" l="1"/>
  <c r="E8" i="5"/>
  <c r="E6" i="5" l="1"/>
  <c r="I4" i="5"/>
  <c r="I18" i="7" l="1"/>
  <c r="E20" i="7" l="1"/>
  <c r="E19" i="7" l="1"/>
  <c r="E5" i="9"/>
  <c r="E52" i="6" l="1"/>
  <c r="E51" i="6"/>
  <c r="E50" i="6"/>
  <c r="E27" i="4"/>
  <c r="C11" i="3" l="1"/>
  <c r="E4" i="17"/>
  <c r="F9" i="17"/>
  <c r="E18" i="7" l="1"/>
  <c r="E26" i="4" l="1"/>
  <c r="E49" i="6"/>
  <c r="E48" i="6"/>
  <c r="E47" i="6"/>
  <c r="I17" i="7" l="1"/>
  <c r="E17" i="7" l="1"/>
  <c r="I8" i="10" l="1"/>
  <c r="E25" i="4" l="1"/>
  <c r="E44" i="6"/>
  <c r="E45" i="6"/>
  <c r="E46" i="6"/>
  <c r="E7" i="10" l="1"/>
  <c r="E8" i="10"/>
  <c r="E6" i="10" l="1"/>
  <c r="I4" i="16" l="1"/>
  <c r="E4" i="16" l="1"/>
  <c r="F9" i="16"/>
  <c r="I7" i="11" l="1"/>
  <c r="E24" i="4" l="1"/>
  <c r="E42" i="6"/>
  <c r="E43" i="6"/>
  <c r="E41" i="6"/>
  <c r="I14" i="7" l="1"/>
  <c r="I15" i="7"/>
  <c r="I16" i="7" l="1"/>
  <c r="I12" i="7" l="1"/>
  <c r="I5" i="10" l="1"/>
  <c r="I8" i="11"/>
  <c r="E8" i="11"/>
  <c r="E16" i="7" l="1"/>
  <c r="E5" i="10" l="1"/>
  <c r="E15" i="7"/>
  <c r="E23" i="4" l="1"/>
  <c r="E38" i="6"/>
  <c r="E39" i="6"/>
  <c r="E40" i="6"/>
  <c r="I4" i="15" l="1"/>
  <c r="E14" i="7" l="1"/>
  <c r="E7" i="11" l="1"/>
  <c r="I5" i="11" l="1"/>
  <c r="I6" i="11"/>
  <c r="I6" i="14" l="1"/>
  <c r="F7" i="14" l="1"/>
  <c r="E13" i="7" l="1"/>
  <c r="E6" i="14" l="1"/>
  <c r="E36" i="6" l="1"/>
  <c r="E37" i="6"/>
  <c r="E35" i="6"/>
  <c r="E22" i="4"/>
  <c r="E6" i="11" l="1"/>
  <c r="I4" i="14" l="1"/>
  <c r="E12" i="7" l="1"/>
  <c r="I10" i="7" l="1"/>
  <c r="E4" i="15" l="1"/>
  <c r="F12" i="15"/>
  <c r="E5" i="11" l="1"/>
  <c r="I5" i="14" l="1"/>
  <c r="E5" i="14"/>
  <c r="E4" i="14" l="1"/>
  <c r="F13" i="14"/>
  <c r="I4" i="11" l="1"/>
  <c r="E33" i="6" l="1"/>
  <c r="E34" i="6"/>
  <c r="E32" i="6"/>
  <c r="E21" i="4"/>
  <c r="C6" i="3" l="1"/>
  <c r="F10" i="13"/>
  <c r="F12" i="12"/>
  <c r="C19" i="3"/>
  <c r="F10" i="12"/>
  <c r="E11" i="7" l="1"/>
  <c r="E4" i="11" l="1"/>
  <c r="C24" i="3" l="1"/>
  <c r="C18" i="3"/>
  <c r="F26" i="11"/>
  <c r="I4" i="10" l="1"/>
  <c r="E10" i="7" l="1"/>
  <c r="E4" i="10"/>
  <c r="F13" i="10"/>
  <c r="I6" i="7"/>
  <c r="I7" i="7" l="1"/>
  <c r="E9" i="7" l="1"/>
  <c r="E30" i="6" l="1"/>
  <c r="E31" i="6"/>
  <c r="E29" i="6"/>
  <c r="E20" i="4"/>
  <c r="E25" i="6" l="1"/>
  <c r="E8" i="7" l="1"/>
  <c r="E27" i="6" l="1"/>
  <c r="E28" i="6"/>
  <c r="E26" i="6"/>
  <c r="E19" i="4" l="1"/>
  <c r="E18" i="4"/>
  <c r="E24" i="6"/>
  <c r="E23" i="6"/>
  <c r="E22" i="6"/>
  <c r="E21" i="6"/>
  <c r="I4" i="9" l="1"/>
  <c r="E4" i="9" l="1"/>
  <c r="F12" i="9"/>
  <c r="E20" i="6" l="1"/>
  <c r="E19" i="6"/>
  <c r="E13" i="2"/>
  <c r="E12" i="2"/>
  <c r="E17" i="4"/>
  <c r="E16" i="4"/>
  <c r="E17" i="6" l="1"/>
  <c r="E18" i="6"/>
  <c r="E16" i="6"/>
  <c r="E10" i="2"/>
  <c r="E11" i="2"/>
  <c r="E14" i="4"/>
  <c r="E15" i="4"/>
  <c r="E13" i="4"/>
  <c r="E13" i="6" l="1"/>
  <c r="E14" i="6"/>
  <c r="E15" i="6"/>
  <c r="E8" i="2" l="1"/>
  <c r="E9" i="2"/>
  <c r="E12" i="4" l="1"/>
  <c r="E11" i="4"/>
  <c r="I7" i="4" l="1"/>
  <c r="E7" i="7" l="1"/>
  <c r="E6" i="7" l="1"/>
  <c r="E5" i="7" l="1"/>
  <c r="E10" i="4" l="1"/>
  <c r="E9" i="4"/>
  <c r="E7" i="2"/>
  <c r="E12" i="6"/>
  <c r="I5" i="5" l="1"/>
  <c r="E4" i="7" l="1"/>
  <c r="C10" i="3" l="1"/>
  <c r="F44" i="7"/>
  <c r="E5" i="6" l="1"/>
  <c r="E6" i="6"/>
  <c r="E7" i="6"/>
  <c r="E4" i="4"/>
  <c r="E4" i="2"/>
  <c r="E8" i="6"/>
  <c r="E9" i="6"/>
  <c r="E5" i="2"/>
  <c r="E5" i="4"/>
  <c r="E6" i="4"/>
  <c r="E11" i="6"/>
  <c r="E10" i="6"/>
  <c r="E6" i="2"/>
  <c r="E8" i="4"/>
  <c r="E7" i="4"/>
  <c r="E4" i="5"/>
  <c r="C21" i="3" l="1"/>
  <c r="C25" i="3" s="1"/>
  <c r="C27" i="3" l="1"/>
  <c r="F102" i="6"/>
  <c r="F19" i="5" l="1"/>
  <c r="F18" i="2" l="1"/>
  <c r="F45" i="4"/>
  <c r="B2" i="3" l="1"/>
</calcChain>
</file>

<file path=xl/sharedStrings.xml><?xml version="1.0" encoding="utf-8"?>
<sst xmlns="http://schemas.openxmlformats.org/spreadsheetml/2006/main" count="1871" uniqueCount="342">
  <si>
    <t>FECHA</t>
  </si>
  <si>
    <t>NUMERO</t>
  </si>
  <si>
    <t>FECHA VTO</t>
  </si>
  <si>
    <t>IMPORTE</t>
  </si>
  <si>
    <t>OBSERVACIONES</t>
  </si>
  <si>
    <t>FECHA COBRO</t>
  </si>
  <si>
    <t>DS. DIF</t>
  </si>
  <si>
    <t>TOTAL DEVENGADO INFORMADO</t>
  </si>
  <si>
    <t xml:space="preserve">TOTAL FACTURADO </t>
  </si>
  <si>
    <t>total fact</t>
  </si>
  <si>
    <t xml:space="preserve">DIFERENCIA </t>
  </si>
  <si>
    <t>dif deveg</t>
  </si>
  <si>
    <t xml:space="preserve">TOTAL DEUDA </t>
  </si>
  <si>
    <t>RAZON SOCIAL</t>
  </si>
  <si>
    <t>SALDO</t>
  </si>
  <si>
    <t>OCTUBRE</t>
  </si>
  <si>
    <t>NOVIEMBRE</t>
  </si>
  <si>
    <t>TOTAL A COBRAR A LA FECHA</t>
  </si>
  <si>
    <t>TIPO COMP</t>
  </si>
  <si>
    <t>AUTOMAT</t>
  </si>
  <si>
    <t>AUTOMAT ARGENTINA SA</t>
  </si>
  <si>
    <t xml:space="preserve">SALDOS CLIENTES  </t>
  </si>
  <si>
    <t>OCME S.A.</t>
  </si>
  <si>
    <t>MUNIC TRES ARROYOS</t>
  </si>
  <si>
    <t>FAC</t>
  </si>
  <si>
    <t>MANGUERA</t>
  </si>
  <si>
    <t>FLUVIOMAT</t>
  </si>
  <si>
    <t>INDUMAT</t>
  </si>
  <si>
    <t>FLUVIOMAT SA</t>
  </si>
  <si>
    <t>INDUMAT SA</t>
  </si>
  <si>
    <t>NOVIEMBRE MV44</t>
  </si>
  <si>
    <t xml:space="preserve">NOVIEMBRE </t>
  </si>
  <si>
    <t>NOVIEMBRE OBRAS</t>
  </si>
  <si>
    <t>NOVIEMBRE SERV PUB</t>
  </si>
  <si>
    <t>OCTUBRE MV44</t>
  </si>
  <si>
    <t>SALDADA</t>
  </si>
  <si>
    <t>OBRAS</t>
  </si>
  <si>
    <t>OCTUBRE SERV PUB</t>
  </si>
  <si>
    <t>OCTUBRE OBRAS</t>
  </si>
  <si>
    <t>SERV PUB</t>
  </si>
  <si>
    <t>ABSA</t>
  </si>
  <si>
    <t>REPARACIONES AA717YH NP 4500020628</t>
  </si>
  <si>
    <t>ENERO 2024</t>
  </si>
  <si>
    <t>ENERO 2024 OBRAS</t>
  </si>
  <si>
    <t>ENERO 2024 SERV PUB</t>
  </si>
  <si>
    <t>-</t>
  </si>
  <si>
    <t>NC</t>
  </si>
  <si>
    <t>APLICA A FC 3-24</t>
  </si>
  <si>
    <t>CODO GIRATORIO KIT DE CODO NP 4500020669</t>
  </si>
  <si>
    <t>ENERO 2024 MV44</t>
  </si>
  <si>
    <t>FEBRERO 2024 MV44</t>
  </si>
  <si>
    <t>FEBRERO 2024</t>
  </si>
  <si>
    <t>DISEÑO MODIF DE BARCAZA</t>
  </si>
  <si>
    <t>FEBRERO 2024 SERV PUB</t>
  </si>
  <si>
    <t>FEBRERO 2024 OBRAS</t>
  </si>
  <si>
    <t>B0000200000266</t>
  </si>
  <si>
    <t>B0000200000287</t>
  </si>
  <si>
    <t>A0000200001276</t>
  </si>
  <si>
    <t>A0000200001278</t>
  </si>
  <si>
    <t>APLICA A FC 2-1307</t>
  </si>
  <si>
    <t>APLICA A FC 2-1308</t>
  </si>
  <si>
    <t>APLICA A FC 2-1303/1304</t>
  </si>
  <si>
    <t>APLICA A FC 2-1309</t>
  </si>
  <si>
    <t>APLICA A FC 2-1310</t>
  </si>
  <si>
    <t>APLICA A FC 2-1311</t>
  </si>
  <si>
    <t>APLICA A FC 2-1312</t>
  </si>
  <si>
    <t>APLICA A FC 2-1306</t>
  </si>
  <si>
    <t>SERVICIOS IBARRA</t>
  </si>
  <si>
    <t>BOYA ACERO INOX PARA FLOTANTE 10"</t>
  </si>
  <si>
    <t>MARZO 2024 SERV PUB</t>
  </si>
  <si>
    <t xml:space="preserve">MARZO 2024 OBRAS </t>
  </si>
  <si>
    <t>MARZO 2024 FLUVIOMAT</t>
  </si>
  <si>
    <t>MARZO 2024.</t>
  </si>
  <si>
    <t>ABRIL 2024.</t>
  </si>
  <si>
    <t>IMPO 3 CAJAS DE TRANSFERENCIA</t>
  </si>
  <si>
    <t>ABRIL 2024 SERV PUB</t>
  </si>
  <si>
    <t>ABRIL 2024 OBRAS</t>
  </si>
  <si>
    <t>ABRIL 2024 FLUVIOMAT</t>
  </si>
  <si>
    <t>NP 4500021489</t>
  </si>
  <si>
    <t>MTTO FLOTA</t>
  </si>
  <si>
    <t>MTTO FLOTA FLUVIOMAT</t>
  </si>
  <si>
    <t>MTTO FLOTA SERV PUB</t>
  </si>
  <si>
    <t>MTTO FLOTA OBRAS</t>
  </si>
  <si>
    <t>APLICA A FC 3-27</t>
  </si>
  <si>
    <t>MUNIC BERAZATEGUI</t>
  </si>
  <si>
    <t>RELAY POTTER &amp; BRUMFIELD 12V</t>
  </si>
  <si>
    <t>MUNIC JUNIN</t>
  </si>
  <si>
    <t>MANGUERA DESOBSTRUCTORA</t>
  </si>
  <si>
    <t>TRABAJOS VARIOS NP 4500022374 AA717YH</t>
  </si>
  <si>
    <t>MUNIC SAN MARTIN</t>
  </si>
  <si>
    <t>CAMPO FUERTE</t>
  </si>
  <si>
    <t>AGUAS RIONEGRINAS</t>
  </si>
  <si>
    <t>RODAMIENTO 33 Y 53 DIENTES - EJE DE CCAJA COTA</t>
  </si>
  <si>
    <t>VALVULA - FILTRO DE MALLA</t>
  </si>
  <si>
    <t>OBRAS SANITARIAS MAR DEL PLATA</t>
  </si>
  <si>
    <t>BURLETE P/ JUNTA TANQUE JET-VAC 4075.</t>
  </si>
  <si>
    <t>TRASLADOS AA717YM-AA717YL</t>
  </si>
  <si>
    <t>TOBERA GRANADA3/4  - OVOIDAL 3/4</t>
  </si>
  <si>
    <t>EMBRAGUE CAJA COTTA</t>
  </si>
  <si>
    <t>APLICA A FC 3-6</t>
  </si>
  <si>
    <t>REPARACION LWV091</t>
  </si>
  <si>
    <t xml:space="preserve">TRABAJOS REPUESTOS </t>
  </si>
  <si>
    <t>TRABAJOS AA717YH</t>
  </si>
  <si>
    <t>REPARACIONES FTS470 OC 2209</t>
  </si>
  <si>
    <t>SOPLADOR AA698SW</t>
  </si>
  <si>
    <t>SOCIEDAD COOPERATIVA POPULAR LIMITADA</t>
  </si>
  <si>
    <t>A300000033</t>
  </si>
  <si>
    <t>REPUESTOS CAMBIO DÓLAR BNA $1.014,50</t>
  </si>
  <si>
    <t>B200000319</t>
  </si>
  <si>
    <t>REPUESTOS FTS470 OC 2520</t>
  </si>
  <si>
    <t>B200000053</t>
  </si>
  <si>
    <t>B200000320</t>
  </si>
  <si>
    <t>A200001354</t>
  </si>
  <si>
    <t>A200001356</t>
  </si>
  <si>
    <t>A200001357</t>
  </si>
  <si>
    <t>A200001355</t>
  </si>
  <si>
    <t>A300000034</t>
  </si>
  <si>
    <t>CILINDRO DE TANQUE AA698SW OC 4500024525</t>
  </si>
  <si>
    <t>A200001358</t>
  </si>
  <si>
    <t>A200001359</t>
  </si>
  <si>
    <t>A200001360</t>
  </si>
  <si>
    <t>A200001361</t>
  </si>
  <si>
    <t>A300000035</t>
  </si>
  <si>
    <t>ADESSO</t>
  </si>
  <si>
    <t>A200001362</t>
  </si>
  <si>
    <t>tobera aluminio</t>
  </si>
  <si>
    <t>A200001363</t>
  </si>
  <si>
    <t>A200001364</t>
  </si>
  <si>
    <t>A200001365</t>
  </si>
  <si>
    <t>A200001366</t>
  </si>
  <si>
    <t>A200001367</t>
  </si>
  <si>
    <t>COLOC TANQUE DE AGUA 1150LT COLOC SUNCHO</t>
  </si>
  <si>
    <t>A300000036</t>
  </si>
  <si>
    <t>REPARACIONES AA717YI NP 4500025456</t>
  </si>
  <si>
    <t>REPARACIONES AA698SW NP 4500021713</t>
  </si>
  <si>
    <t>A300000037</t>
  </si>
  <si>
    <t>REPARACIONES AA717YL/AA717YM PEDIDO 4500025133</t>
  </si>
  <si>
    <t>B200000321</t>
  </si>
  <si>
    <t>REPARACIONES DAT754</t>
  </si>
  <si>
    <t>B200000054</t>
  </si>
  <si>
    <t>APLICA A FC 2-321</t>
  </si>
  <si>
    <t>B200000322</t>
  </si>
  <si>
    <t>A200001368</t>
  </si>
  <si>
    <t>A200001369</t>
  </si>
  <si>
    <t>A200001370</t>
  </si>
  <si>
    <t>A200001371</t>
  </si>
  <si>
    <t>B200000323</t>
  </si>
  <si>
    <t>REPARACION MANGUERA DESOBSTRUCTORA</t>
  </si>
  <si>
    <t>B200000055</t>
  </si>
  <si>
    <t>B200000324</t>
  </si>
  <si>
    <t>APLICA A FC 2-322</t>
  </si>
  <si>
    <t>B200000056</t>
  </si>
  <si>
    <t>B200000325</t>
  </si>
  <si>
    <t>A300000038</t>
  </si>
  <si>
    <t>REPARACIONES AA717YI NP 4500026290</t>
  </si>
  <si>
    <t>A200001372</t>
  </si>
  <si>
    <t>A200001373</t>
  </si>
  <si>
    <t>A200001374</t>
  </si>
  <si>
    <t>A200001375</t>
  </si>
  <si>
    <t>SERVICIOS DE AGUA DE MISIONES</t>
  </si>
  <si>
    <t>A200001376</t>
  </si>
  <si>
    <t>TOBERAS</t>
  </si>
  <si>
    <t>A300000007</t>
  </si>
  <si>
    <t>APLICA A FC 3-38</t>
  </si>
  <si>
    <t>A300000039</t>
  </si>
  <si>
    <t>REPARACIONES AA717YI NP 4500026290 ANTICIPO 50%</t>
  </si>
  <si>
    <t>A200001377</t>
  </si>
  <si>
    <t>BURLETE APOYA PLUMA A TANQUE</t>
  </si>
  <si>
    <t>ENTE MUNICIPAL DE SERVICIOS URBANOS O.P.</t>
  </si>
  <si>
    <t>A200001378</t>
  </si>
  <si>
    <t>TRASLADO LA PAMPA - BS AS OC 487</t>
  </si>
  <si>
    <t>ENTE MUNIC SERV URBANOS</t>
  </si>
  <si>
    <t>A200001379</t>
  </si>
  <si>
    <t>A200001380</t>
  </si>
  <si>
    <t>A200001381</t>
  </si>
  <si>
    <t>A200001382</t>
  </si>
  <si>
    <t>A300000040</t>
  </si>
  <si>
    <t>REPARACIONES DOMINIO HEZ261</t>
  </si>
  <si>
    <t>A200001383</t>
  </si>
  <si>
    <t xml:space="preserve">ADAPTACION CAJA DE TRANSFERENCIA </t>
  </si>
  <si>
    <t>SALDO TANGO</t>
  </si>
  <si>
    <t>A200001384</t>
  </si>
  <si>
    <t>A200001385</t>
  </si>
  <si>
    <t>A200001386</t>
  </si>
  <si>
    <t>A200001387</t>
  </si>
  <si>
    <t>A300000041</t>
  </si>
  <si>
    <t>A300000008</t>
  </si>
  <si>
    <t>APLICA A FC 3-41</t>
  </si>
  <si>
    <t>B200000326</t>
  </si>
  <si>
    <t xml:space="preserve">REPARACION GRAL EQUIPO JET VAC 4500 D OC: 5058 ANT FINANC </t>
  </si>
  <si>
    <t>COD_CLIENT</t>
  </si>
  <si>
    <t>RAZON_SOCI</t>
  </si>
  <si>
    <t>100028</t>
  </si>
  <si>
    <t>AUTOMAT ARGENTINA S.A.</t>
  </si>
  <si>
    <t>100035</t>
  </si>
  <si>
    <t>AGUAS BONAERENSES S.A.</t>
  </si>
  <si>
    <t>100077</t>
  </si>
  <si>
    <t>AGUAS DE ZARATE S.A. P.E.M.</t>
  </si>
  <si>
    <t>100107</t>
  </si>
  <si>
    <t>SOLUC.QUIMICAS S.A.- MANTELECTRIC ICISA .UTE</t>
  </si>
  <si>
    <t>100133</t>
  </si>
  <si>
    <t>CAMPO FUERTE S.A.</t>
  </si>
  <si>
    <t>100184</t>
  </si>
  <si>
    <t>INDUMAT GROUP S.A.</t>
  </si>
  <si>
    <t>100190</t>
  </si>
  <si>
    <t>ENTE MUNICIPAL DE SERVICIOS URBANOS O. P.</t>
  </si>
  <si>
    <t>200011</t>
  </si>
  <si>
    <t>MUNICIPALIDAD GRAL.SAN MARTIN</t>
  </si>
  <si>
    <t>200023</t>
  </si>
  <si>
    <t>MUNICIPALIDAD DE JUNIN</t>
  </si>
  <si>
    <t>A200001388</t>
  </si>
  <si>
    <t>SERVICIO ARENADO ARROYO MALDONADO</t>
  </si>
  <si>
    <t>A300000042</t>
  </si>
  <si>
    <t>REPARACIONES AA698SW NP 4500027506 RTO4567</t>
  </si>
  <si>
    <t>A300000043</t>
  </si>
  <si>
    <t>BLOWER SOPLADOR DE AIRE EQUIPO JET VAC 4075 44717YM NP4500027607 RTO4568</t>
  </si>
  <si>
    <t/>
  </si>
  <si>
    <t>A200001389</t>
  </si>
  <si>
    <t>A200001390</t>
  </si>
  <si>
    <t>A200001393</t>
  </si>
  <si>
    <t xml:space="preserve">MTTO FLOTA FLUVIOMAT </t>
  </si>
  <si>
    <t>A200001392</t>
  </si>
  <si>
    <t>A200001394</t>
  </si>
  <si>
    <t>REP. DE CJ DE TRANSFERENCIA DOMINIO: AA-717-YL NPº: 4500027912 Nº DE REMITO: 4569</t>
  </si>
  <si>
    <t>A200001395</t>
  </si>
  <si>
    <t>REP. CILINDRO DOMINIO: AA-717-YL NPº: 4500027761 Nº DE REMITO: 4570</t>
  </si>
  <si>
    <t>MANGUERA DESOB. DIAMETRO 1"X152M OC2938</t>
  </si>
  <si>
    <t>B200000327</t>
  </si>
  <si>
    <t xml:space="preserve">KIT DE REPARACION BOMBA DE AGUA KF36 OC6256 DOMINIO AB949NT </t>
  </si>
  <si>
    <t>B200000328</t>
  </si>
  <si>
    <t>B200000057</t>
  </si>
  <si>
    <t>B200000329</t>
  </si>
  <si>
    <t>200012</t>
  </si>
  <si>
    <t>MUNICIPALIDAD DE TRES ARROYOS</t>
  </si>
  <si>
    <t>A300000009</t>
  </si>
  <si>
    <t>A200001396</t>
  </si>
  <si>
    <t>EQUIPO AGUATECH DOM KRD066 OC699-2025 50% ANT 50%CONT</t>
  </si>
  <si>
    <t xml:space="preserve">COOP. DE OBRAS Y SERV SANTA TERESITA </t>
  </si>
  <si>
    <t>TOBERA OVOIDAL TOBERAS MEDUNA OC 20250004</t>
  </si>
  <si>
    <t>100004</t>
  </si>
  <si>
    <t>AGUAS RIONEGRINAS S.A.</t>
  </si>
  <si>
    <t>100033</t>
  </si>
  <si>
    <t>COOP DE OBRAS Y SERV PUBLICOS DE SANTA TERESITA LIMITADA</t>
  </si>
  <si>
    <t>B200000331</t>
  </si>
  <si>
    <t xml:space="preserve">REPARACIONES OC 3035 DOMINIO DAT 754 VACTOR </t>
  </si>
  <si>
    <t>B200000058</t>
  </si>
  <si>
    <t>B200000332</t>
  </si>
  <si>
    <t>B200000330</t>
  </si>
  <si>
    <t>TOBERAS Nº OC 6944DOMINIO LWV-091</t>
  </si>
  <si>
    <t>A200000101</t>
  </si>
  <si>
    <t>REP. DE CJ DE TRANSF. DOMINIO: AA-717-YL NPº: 4500027912 Nº DE REMITO: 4569 APLICA FC 1394</t>
  </si>
  <si>
    <t>A200001399</t>
  </si>
  <si>
    <t xml:space="preserve">REP. DE CJ DE TRANSF. DOMINIO: AA-717-YL NPº: 450008490 Nº DE REMITO: 4569 </t>
  </si>
  <si>
    <t>A200001400</t>
  </si>
  <si>
    <t>CABLE ACELERADOR BOMBA DE AGUA LLAVE DE ACCIONAMIENTO DOMINIO AA717YI NPº4500028299 REMITO 4574</t>
  </si>
  <si>
    <t>A200001401</t>
  </si>
  <si>
    <t>MTTO FLOTA SERV PUB MV 46 AG811MY</t>
  </si>
  <si>
    <t>A200001402</t>
  </si>
  <si>
    <t>A200001403</t>
  </si>
  <si>
    <t>A200001404</t>
  </si>
  <si>
    <t>A200001405</t>
  </si>
  <si>
    <t>B200000333</t>
  </si>
  <si>
    <t>4 TERMINAL HG 2-1/2" PARA MANGUERA OC 7769 DOMINIO LWV 091</t>
  </si>
  <si>
    <t>B200000059</t>
  </si>
  <si>
    <t>4 TERMINAL HG 2-1/2" PARA MANGUERA OC 7769 DOMINIO LWV 091 PLIACA FC 333</t>
  </si>
  <si>
    <t>B200000334</t>
  </si>
  <si>
    <t xml:space="preserve">DESOBSTRUCTORA ARG. ASHIRA </t>
  </si>
  <si>
    <t>TOBERA OVOIDAL TOBERAS SAPO 1" OC 98-2987</t>
  </si>
  <si>
    <t>B200000335</t>
  </si>
  <si>
    <t>REP. EQUIPO JET VAC 4500D OC5058 AB949NT</t>
  </si>
  <si>
    <t>A200001407</t>
  </si>
  <si>
    <t>A200001408</t>
  </si>
  <si>
    <t>A200001409</t>
  </si>
  <si>
    <t>A200001410</t>
  </si>
  <si>
    <t>A200001411</t>
  </si>
  <si>
    <t>A200001412</t>
  </si>
  <si>
    <t>100192</t>
  </si>
  <si>
    <t>DESOBSTRUCTORA ARGENTINA SOCIEDAD ANONIMA - ASHIRA SOCIEDAD</t>
  </si>
  <si>
    <t>A200001413</t>
  </si>
  <si>
    <t>DIAGNOSTICO, DESARME E INFORME DOMINIO AA717YL OC 4500029404</t>
  </si>
  <si>
    <t>A200001415</t>
  </si>
  <si>
    <t>MTTO FLOTA SERV PUB MV 45 AG701XM</t>
  </si>
  <si>
    <t>A200001417</t>
  </si>
  <si>
    <t>A200001418</t>
  </si>
  <si>
    <t>A200001416</t>
  </si>
  <si>
    <t>A200001419</t>
  </si>
  <si>
    <t>A200001414</t>
  </si>
  <si>
    <t>MUNIC SANTA ROSA</t>
  </si>
  <si>
    <t>B0000200000336</t>
  </si>
  <si>
    <t>BATERIA MOURA 12X180 OC Nº1139</t>
  </si>
  <si>
    <t>A200000102</t>
  </si>
  <si>
    <t>DIAGNOSTICO, DESARME E INFORME DOMINIO AA717YL OC 4500029404 APLICA A FC 1413</t>
  </si>
  <si>
    <t>A200001420</t>
  </si>
  <si>
    <t>200028</t>
  </si>
  <si>
    <t>MUNICIPALIDAD DE SANTA ROSA</t>
  </si>
  <si>
    <t>11-8 Y 23-10</t>
  </si>
  <si>
    <t xml:space="preserve">NC </t>
  </si>
  <si>
    <t>B0000200000060</t>
  </si>
  <si>
    <t>,</t>
  </si>
  <si>
    <t>BATERIA MOURA 12X180 OC Nº1139 APLICA A FC336</t>
  </si>
  <si>
    <t>A200001421</t>
  </si>
  <si>
    <t>A200001422</t>
  </si>
  <si>
    <t>A200001423</t>
  </si>
  <si>
    <t>A200001424</t>
  </si>
  <si>
    <t>A200001425</t>
  </si>
  <si>
    <t>A200001428</t>
  </si>
  <si>
    <t>A200001427</t>
  </si>
  <si>
    <t>A200001429</t>
  </si>
  <si>
    <t xml:space="preserve">BURLETE DE PLUMA ARMADO </t>
  </si>
  <si>
    <t>A200001430</t>
  </si>
  <si>
    <t xml:space="preserve">REPARACIONES DOMINIO: HEZ261  NPº: 4500029647 </t>
  </si>
  <si>
    <t>A200001431</t>
  </si>
  <si>
    <t>A200001432</t>
  </si>
  <si>
    <t>A200001433</t>
  </si>
  <si>
    <t>A200001434</t>
  </si>
  <si>
    <t>A200001435</t>
  </si>
  <si>
    <t>A200001436</t>
  </si>
  <si>
    <t>COOP. COSERCO CORONDA</t>
  </si>
  <si>
    <t>MANG. DESOBTRUCTORA PREDATOR 3/4" REF BNA VTA 1475</t>
  </si>
  <si>
    <t>100070</t>
  </si>
  <si>
    <t>COOPERATIVA DE SERVICIOS CORONDA LIMITADA (CO.SER.CO.)</t>
  </si>
  <si>
    <t>A200001439</t>
  </si>
  <si>
    <t>VENTA REPUESTOS IMPO</t>
  </si>
  <si>
    <t>A200001438</t>
  </si>
  <si>
    <t>VENTA REPUESTOS IMPORTACION</t>
  </si>
  <si>
    <t>A200001440</t>
  </si>
  <si>
    <t>A200001441</t>
  </si>
  <si>
    <t>A200001442</t>
  </si>
  <si>
    <t>A200001443</t>
  </si>
  <si>
    <t>MTTO FLOTA SERV PUB MV 48</t>
  </si>
  <si>
    <t>ALEMARSA</t>
  </si>
  <si>
    <t>A200001444</t>
  </si>
  <si>
    <t>TOBERA ALUMINIO 1" PARA EQUIPO DESOBSTRUCTOR</t>
  </si>
  <si>
    <t>100193</t>
  </si>
  <si>
    <t>ALEMARSA S.A.-SACH S.A.-MANTENIMIENTOS AMBIENTALES S.A. U. T</t>
  </si>
  <si>
    <t>OBRAS SANIT MDP</t>
  </si>
  <si>
    <t>ABRAZADERAS RAPIDAS 8" PARA JET VAC</t>
  </si>
  <si>
    <t>APLICA A FC 2-337</t>
  </si>
  <si>
    <t>100002</t>
  </si>
  <si>
    <t>OBRAS SANITARIAS MAR DEL PLATA S E</t>
  </si>
  <si>
    <t>B200000339</t>
  </si>
  <si>
    <t>2 MANGUERAS DESOBSTRUCTORAS EN 3/4"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</si>
</sst>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dd/mm/yy;@"/>
    <numFmt numFmtId="165" formatCode="_ * #,##0.00_ ;_ * \-#,##0.00_ ;_ * &quot;-&quot;??_ ;_ @_ "/>
    <numFmt numFmtId="166" formatCode="0_ ;\-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192">
    <xf numFmtId="0" fontId="0" fillId="0" borderId="0" xfId="0"/>
    <xf numFmtId="164" fontId="0" fillId="0" borderId="0" xfId="0" applyNumberFormat="1" applyAlignment="1">
      <alignment horizontal="center" vertical="center"/>
    </xf>
    <xf numFmtId="0" fontId="4" fillId="0" borderId="0" xfId="0" quotePrefix="1" applyFont="1"/>
    <xf numFmtId="0" fontId="0" fillId="0" borderId="0" xfId="0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5" fillId="0" borderId="1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quotePrefix="1" applyBorder="1"/>
    <xf numFmtId="0" fontId="0" fillId="0" borderId="0" xfId="0" quotePrefix="1"/>
    <xf numFmtId="0" fontId="0" fillId="0" borderId="0" xfId="0" quotePrefix="1" applyAlignment="1">
      <alignment horizontal="right"/>
    </xf>
    <xf numFmtId="1" fontId="0" fillId="0" borderId="0" xfId="0" quotePrefix="1" applyNumberFormat="1" applyAlignment="1">
      <alignment horizontal="right" vertical="center"/>
    </xf>
    <xf numFmtId="4" fontId="6" fillId="0" borderId="0" xfId="2" applyNumberFormat="1" applyFont="1" applyFill="1" applyBorder="1"/>
    <xf numFmtId="0" fontId="6" fillId="0" borderId="0" xfId="3" applyFont="1" applyAlignment="1">
      <alignment horizontal="center" vertical="center"/>
    </xf>
    <xf numFmtId="165" fontId="0" fillId="0" borderId="0" xfId="2" applyFont="1" applyFill="1" applyBorder="1"/>
    <xf numFmtId="2" fontId="0" fillId="0" borderId="0" xfId="0" applyNumberFormat="1"/>
    <xf numFmtId="2" fontId="3" fillId="0" borderId="0" xfId="0" applyNumberFormat="1" applyFont="1" applyAlignment="1">
      <alignment horizontal="center" vertical="center"/>
    </xf>
    <xf numFmtId="165" fontId="0" fillId="2" borderId="1" xfId="2" applyFont="1" applyFill="1" applyBorder="1"/>
    <xf numFmtId="165" fontId="0" fillId="0" borderId="0" xfId="2" applyFont="1"/>
    <xf numFmtId="165" fontId="0" fillId="3" borderId="1" xfId="2" applyFont="1" applyFill="1" applyBorder="1"/>
    <xf numFmtId="0" fontId="0" fillId="0" borderId="8" xfId="0" quotePrefix="1" applyBorder="1"/>
    <xf numFmtId="165" fontId="0" fillId="0" borderId="9" xfId="2" applyFont="1" applyFill="1" applyBorder="1"/>
    <xf numFmtId="0" fontId="6" fillId="0" borderId="0" xfId="0" applyFont="1"/>
    <xf numFmtId="0" fontId="2" fillId="3" borderId="7" xfId="0" applyFont="1" applyFill="1" applyBorder="1"/>
    <xf numFmtId="165" fontId="2" fillId="3" borderId="10" xfId="2" applyFont="1" applyFill="1" applyBorder="1"/>
    <xf numFmtId="165" fontId="0" fillId="0" borderId="0" xfId="0" applyNumberFormat="1"/>
    <xf numFmtId="165" fontId="6" fillId="0" borderId="0" xfId="0" applyNumberFormat="1" applyFont="1"/>
    <xf numFmtId="0" fontId="12" fillId="0" borderId="0" xfId="0" quotePrefix="1" applyFont="1"/>
    <xf numFmtId="9" fontId="2" fillId="0" borderId="0" xfId="1" applyFont="1" applyFill="1" applyBorder="1"/>
    <xf numFmtId="0" fontId="6" fillId="0" borderId="0" xfId="0" quotePrefix="1" applyFont="1"/>
    <xf numFmtId="0" fontId="12" fillId="0" borderId="0" xfId="0" applyFont="1"/>
    <xf numFmtId="0" fontId="13" fillId="0" borderId="0" xfId="0" quotePrefix="1" applyFont="1"/>
    <xf numFmtId="43" fontId="0" fillId="0" borderId="0" xfId="0" applyNumberFormat="1"/>
    <xf numFmtId="164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right" vertical="center"/>
    </xf>
    <xf numFmtId="4" fontId="0" fillId="0" borderId="0" xfId="0" applyNumberFormat="1"/>
    <xf numFmtId="164" fontId="6" fillId="0" borderId="0" xfId="3" applyNumberFormat="1" applyFont="1" applyAlignment="1">
      <alignment horizontal="center"/>
    </xf>
    <xf numFmtId="0" fontId="6" fillId="0" borderId="0" xfId="3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3" applyFont="1" applyAlignment="1">
      <alignment horizontal="left" vertical="center"/>
    </xf>
    <xf numFmtId="0" fontId="0" fillId="0" borderId="0" xfId="0" quotePrefix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2" applyNumberFormat="1" applyFont="1" applyFill="1" applyBorder="1"/>
    <xf numFmtId="1" fontId="0" fillId="0" borderId="0" xfId="0" applyNumberFormat="1"/>
    <xf numFmtId="4" fontId="0" fillId="0" borderId="0" xfId="2" applyNumberFormat="1" applyFont="1"/>
    <xf numFmtId="165" fontId="0" fillId="3" borderId="1" xfId="2" applyFont="1" applyFill="1" applyBorder="1" applyAlignment="1">
      <alignment vertical="center"/>
    </xf>
    <xf numFmtId="43" fontId="6" fillId="0" borderId="0" xfId="4" applyFont="1" applyFill="1" applyBorder="1" applyAlignment="1">
      <alignment horizontal="center" vertical="center"/>
    </xf>
    <xf numFmtId="166" fontId="6" fillId="0" borderId="0" xfId="4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43" fontId="6" fillId="0" borderId="0" xfId="4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quotePrefix="1" applyAlignment="1">
      <alignment horizontal="left"/>
    </xf>
    <xf numFmtId="4" fontId="0" fillId="0" borderId="0" xfId="0" applyNumberFormat="1" applyAlignment="1">
      <alignment horizontal="left"/>
    </xf>
    <xf numFmtId="16" fontId="0" fillId="0" borderId="0" xfId="0" quotePrefix="1" applyNumberFormat="1"/>
    <xf numFmtId="16" fontId="0" fillId="0" borderId="0" xfId="0" applyNumberFormat="1"/>
    <xf numFmtId="16" fontId="0" fillId="0" borderId="0" xfId="0" applyNumberFormat="1" applyAlignment="1">
      <alignment horizontal="left"/>
    </xf>
    <xf numFmtId="164" fontId="6" fillId="0" borderId="1" xfId="3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3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4" fontId="6" fillId="0" borderId="1" xfId="2" applyNumberFormat="1" applyFont="1" applyFill="1" applyBorder="1"/>
    <xf numFmtId="0" fontId="6" fillId="0" borderId="1" xfId="3" applyFont="1" applyBorder="1" applyAlignment="1">
      <alignment horizontal="left" vertical="center"/>
    </xf>
    <xf numFmtId="166" fontId="6" fillId="0" borderId="1" xfId="4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1" xfId="0" quotePrefix="1" applyBorder="1"/>
    <xf numFmtId="165" fontId="0" fillId="0" borderId="12" xfId="2" applyFont="1" applyFill="1" applyBorder="1"/>
    <xf numFmtId="164" fontId="6" fillId="3" borderId="1" xfId="3" applyNumberFormat="1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/>
    </xf>
    <xf numFmtId="4" fontId="6" fillId="3" borderId="1" xfId="2" applyNumberFormat="1" applyFont="1" applyFill="1" applyBorder="1"/>
    <xf numFmtId="0" fontId="6" fillId="3" borderId="1" xfId="3" applyFont="1" applyFill="1" applyBorder="1" applyAlignment="1">
      <alignment horizontal="left" vertical="center"/>
    </xf>
    <xf numFmtId="166" fontId="6" fillId="3" borderId="1" xfId="4" applyNumberFormat="1" applyFont="1" applyFill="1" applyBorder="1" applyAlignment="1">
      <alignment horizontal="right" vertical="center"/>
    </xf>
    <xf numFmtId="17" fontId="6" fillId="0" borderId="1" xfId="3" applyNumberFormat="1" applyFont="1" applyBorder="1" applyAlignment="1">
      <alignment horizontal="left" vertical="center"/>
    </xf>
    <xf numFmtId="43" fontId="0" fillId="0" borderId="0" xfId="4" applyFont="1"/>
    <xf numFmtId="43" fontId="0" fillId="0" borderId="0" xfId="4" applyFont="1" applyFill="1"/>
    <xf numFmtId="43" fontId="0" fillId="0" borderId="0" xfId="4" applyFont="1" applyAlignment="1">
      <alignment horizontal="center" vertical="center"/>
    </xf>
    <xf numFmtId="43" fontId="0" fillId="0" borderId="0" xfId="4" applyFont="1" applyAlignment="1">
      <alignment horizontal="left" vertical="top"/>
    </xf>
    <xf numFmtId="43" fontId="0" fillId="0" borderId="0" xfId="4" applyFont="1" applyFill="1" applyAlignment="1">
      <alignment horizontal="left" vertical="top"/>
    </xf>
    <xf numFmtId="1" fontId="0" fillId="0" borderId="1" xfId="0" applyNumberFormat="1" applyBorder="1"/>
    <xf numFmtId="166" fontId="6" fillId="0" borderId="1" xfId="4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6" fillId="3" borderId="1" xfId="3" applyFont="1" applyFill="1" applyBorder="1" applyAlignment="1">
      <alignment horizontal="right" vertical="center"/>
    </xf>
    <xf numFmtId="17" fontId="6" fillId="3" borderId="1" xfId="3" applyNumberFormat="1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6" fillId="3" borderId="1" xfId="4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6" fillId="3" borderId="1" xfId="3" applyFont="1" applyFill="1" applyBorder="1" applyAlignment="1">
      <alignment vertical="center"/>
    </xf>
    <xf numFmtId="0" fontId="6" fillId="3" borderId="19" xfId="3" applyFont="1" applyFill="1" applyBorder="1" applyAlignment="1">
      <alignment vertical="center"/>
    </xf>
    <xf numFmtId="1" fontId="0" fillId="3" borderId="1" xfId="0" applyNumberFormat="1" applyFill="1" applyBorder="1"/>
    <xf numFmtId="43" fontId="0" fillId="0" borderId="0" xfId="4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6" fillId="0" borderId="1" xfId="3" applyFont="1" applyBorder="1" applyAlignment="1">
      <alignment horizontal="right"/>
    </xf>
    <xf numFmtId="0" fontId="6" fillId="0" borderId="0" xfId="3" applyFont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9" xfId="3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3" fontId="5" fillId="0" borderId="1" xfId="4" applyFont="1" applyBorder="1" applyAlignment="1">
      <alignment horizontal="center" vertical="center"/>
    </xf>
    <xf numFmtId="43" fontId="6" fillId="0" borderId="1" xfId="4" applyFont="1" applyFill="1" applyBorder="1"/>
    <xf numFmtId="43" fontId="0" fillId="0" borderId="0" xfId="4" applyFont="1" applyFill="1" applyBorder="1"/>
    <xf numFmtId="43" fontId="0" fillId="2" borderId="1" xfId="4" applyFont="1" applyFill="1" applyBorder="1"/>
    <xf numFmtId="43" fontId="0" fillId="3" borderId="1" xfId="4" applyFont="1" applyFill="1" applyBorder="1" applyAlignment="1">
      <alignment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0" xfId="0" applyFont="1"/>
    <xf numFmtId="43" fontId="13" fillId="0" borderId="0" xfId="4" quotePrefix="1" applyFont="1"/>
    <xf numFmtId="43" fontId="2" fillId="0" borderId="0" xfId="4" applyFont="1"/>
    <xf numFmtId="14" fontId="13" fillId="0" borderId="0" xfId="0" quotePrefix="1" applyNumberFormat="1" applyFont="1"/>
    <xf numFmtId="43" fontId="0" fillId="0" borderId="20" xfId="4" applyFont="1" applyBorder="1"/>
    <xf numFmtId="0" fontId="6" fillId="0" borderId="2" xfId="3" applyFont="1" applyBorder="1" applyAlignment="1">
      <alignment horizontal="center" vertical="center"/>
    </xf>
    <xf numFmtId="43" fontId="2" fillId="0" borderId="21" xfId="4" applyFont="1" applyBorder="1"/>
    <xf numFmtId="43" fontId="2" fillId="0" borderId="22" xfId="4" applyFont="1" applyBorder="1"/>
    <xf numFmtId="2" fontId="13" fillId="0" borderId="0" xfId="4" quotePrefix="1" applyNumberFormat="1" applyFont="1"/>
    <xf numFmtId="2" fontId="0" fillId="0" borderId="0" xfId="4" applyNumberFormat="1" applyFont="1"/>
    <xf numFmtId="166" fontId="6" fillId="0" borderId="0" xfId="4" applyNumberFormat="1" applyFont="1" applyFill="1" applyBorder="1" applyAlignment="1">
      <alignment horizontal="center" vertical="center"/>
    </xf>
    <xf numFmtId="43" fontId="0" fillId="0" borderId="0" xfId="4" applyFont="1" applyBorder="1"/>
    <xf numFmtId="16" fontId="15" fillId="0" borderId="0" xfId="0" applyNumberFormat="1" applyFont="1"/>
    <xf numFmtId="17" fontId="6" fillId="0" borderId="1" xfId="3" applyNumberFormat="1" applyFont="1" applyBorder="1" applyAlignment="1">
      <alignment horizontal="left" vertical="center" wrapText="1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0" borderId="1" xfId="4" applyFont="1" applyFill="1" applyBorder="1" applyAlignment="1">
      <alignment vertical="center"/>
    </xf>
    <xf numFmtId="43" fontId="6" fillId="0" borderId="0" xfId="4" applyFont="1" applyFill="1" applyBorder="1" applyAlignment="1">
      <alignment vertical="center"/>
    </xf>
    <xf numFmtId="0" fontId="6" fillId="0" borderId="1" xfId="3" applyFont="1" applyBorder="1" applyAlignment="1">
      <alignment horizontal="left" vertical="center" wrapText="1"/>
    </xf>
    <xf numFmtId="16" fontId="15" fillId="0" borderId="0" xfId="4" applyNumberFormat="1" applyFont="1"/>
    <xf numFmtId="0" fontId="15" fillId="0" borderId="0" xfId="0" applyFont="1" applyAlignment="1">
      <alignment horizontal="right"/>
    </xf>
    <xf numFmtId="16" fontId="15" fillId="0" borderId="0" xfId="4" applyNumberFormat="1" applyFont="1" applyAlignment="1">
      <alignment horizontal="right"/>
    </xf>
    <xf numFmtId="164" fontId="6" fillId="0" borderId="0" xfId="3" applyNumberFormat="1" applyFont="1" applyAlignment="1">
      <alignment horizontal="center" vertical="center"/>
    </xf>
    <xf numFmtId="17" fontId="6" fillId="0" borderId="0" xfId="3" applyNumberFormat="1" applyFont="1" applyAlignment="1">
      <alignment horizontal="left" vertical="center" wrapText="1"/>
    </xf>
    <xf numFmtId="14" fontId="0" fillId="0" borderId="0" xfId="0" applyNumberFormat="1"/>
    <xf numFmtId="14" fontId="0" fillId="0" borderId="0" xfId="4" applyNumberFormat="1" applyFont="1" applyAlignment="1">
      <alignment horizontal="center" vertical="center"/>
    </xf>
    <xf numFmtId="164" fontId="0" fillId="0" borderId="0" xfId="0" applyNumberFormat="1"/>
    <xf numFmtId="0" fontId="6" fillId="0" borderId="0" xfId="3" applyFont="1" applyAlignment="1">
      <alignment vertical="center"/>
    </xf>
    <xf numFmtId="164" fontId="6" fillId="0" borderId="1" xfId="3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1" xfId="3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3" applyFont="1" applyFill="1" applyBorder="1" applyAlignment="1">
      <alignment horizontal="right" vertical="center"/>
    </xf>
    <xf numFmtId="17" fontId="6" fillId="0" borderId="1" xfId="3" applyNumberFormat="1" applyFon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center" vertical="center"/>
    </xf>
    <xf numFmtId="0" fontId="6" fillId="0" borderId="0" xfId="0" applyFont="1" applyFill="1"/>
    <xf numFmtId="164" fontId="6" fillId="0" borderId="1" xfId="3" applyNumberFormat="1" applyFont="1" applyFill="1" applyBorder="1" applyAlignment="1">
      <alignment horizontal="center" vertical="center"/>
    </xf>
    <xf numFmtId="17" fontId="6" fillId="0" borderId="1" xfId="3" applyNumberFormat="1" applyFont="1" applyFill="1" applyBorder="1" applyAlignment="1">
      <alignment horizontal="left" vertical="center" wrapText="1"/>
    </xf>
    <xf numFmtId="164" fontId="6" fillId="0" borderId="0" xfId="3" applyNumberFormat="1" applyFont="1" applyBorder="1" applyAlignment="1">
      <alignment horizontal="center"/>
    </xf>
    <xf numFmtId="0" fontId="6" fillId="0" borderId="0" xfId="0" applyFont="1" applyBorder="1"/>
    <xf numFmtId="0" fontId="6" fillId="0" borderId="0" xfId="3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center" vertical="center"/>
    </xf>
    <xf numFmtId="17" fontId="6" fillId="0" borderId="0" xfId="3" applyNumberFormat="1" applyFont="1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16" fontId="12" fillId="0" borderId="0" xfId="0" applyNumberFormat="1" applyFont="1" applyAlignment="1">
      <alignment horizontal="center" vertical="center"/>
    </xf>
    <xf numFmtId="43" fontId="1" fillId="0" borderId="0" xfId="4" applyFont="1" applyBorder="1"/>
    <xf numFmtId="0" fontId="6" fillId="0" borderId="1" xfId="3" applyFont="1" applyFill="1" applyBorder="1" applyAlignment="1">
      <alignment vertical="center"/>
    </xf>
    <xf numFmtId="164" fontId="6" fillId="0" borderId="0" xfId="3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3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horizontal="center" vertical="center"/>
    </xf>
    <xf numFmtId="17" fontId="6" fillId="0" borderId="0" xfId="3" applyNumberFormat="1" applyFont="1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6" fillId="0" borderId="2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quotePrefix="1" applyFont="1" applyBorder="1" applyAlignment="1">
      <alignment horizontal="center" vertical="center"/>
    </xf>
    <xf numFmtId="0" fontId="11" fillId="0" borderId="14" xfId="0" quotePrefix="1" applyFont="1" applyBorder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</cellXfs>
  <cellStyles count="5">
    <cellStyle name="Millares" xfId="4" builtinId="3"/>
    <cellStyle name="Millares 2" xfId="2"/>
    <cellStyle name="Normal" xfId="0" builtinId="0"/>
    <cellStyle name="Normal_FAC_2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"/>
  <sheetViews>
    <sheetView showGridLines="0" workbookViewId="0">
      <selection activeCell="F13" sqref="F13"/>
    </sheetView>
  </sheetViews>
  <sheetFormatPr baseColWidth="10" defaultRowHeight="15" x14ac:dyDescent="0.25"/>
  <cols>
    <col min="1" max="1" width="5" bestFit="1" customWidth="1"/>
    <col min="2" max="2" width="12.140625" style="1" bestFit="1" customWidth="1"/>
    <col min="3" max="3" width="11.140625" bestFit="1" customWidth="1"/>
    <col min="4" max="4" width="10" bestFit="1" customWidth="1"/>
    <col min="5" max="5" width="11.42578125" style="1"/>
    <col min="6" max="6" width="14.28515625" bestFit="1" customWidth="1"/>
    <col min="7" max="7" width="36.140625" customWidth="1"/>
    <col min="8" max="8" width="13.42578125" style="1" bestFit="1" customWidth="1"/>
    <col min="9" max="9" width="15.140625" style="3" bestFit="1" customWidth="1"/>
  </cols>
  <sheetData>
    <row r="1" spans="2:11" ht="15.75" x14ac:dyDescent="0.25">
      <c r="B1" s="2" t="s">
        <v>90</v>
      </c>
    </row>
    <row r="2" spans="2:11" x14ac:dyDescent="0.25">
      <c r="B2" s="4"/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</row>
    <row r="4" spans="2:11" s="23" customFormat="1" x14ac:dyDescent="0.25">
      <c r="B4" s="73">
        <v>45075</v>
      </c>
      <c r="C4" s="74" t="s">
        <v>24</v>
      </c>
      <c r="D4" s="90" t="s">
        <v>57</v>
      </c>
      <c r="E4" s="75"/>
      <c r="F4" s="76">
        <v>7865000</v>
      </c>
      <c r="G4" s="91"/>
      <c r="H4" s="92"/>
      <c r="I4" s="93"/>
      <c r="J4" s="49"/>
      <c r="K4" s="54"/>
    </row>
    <row r="5" spans="2:11" s="23" customFormat="1" x14ac:dyDescent="0.25">
      <c r="B5" s="73">
        <v>45078</v>
      </c>
      <c r="C5" s="74" t="s">
        <v>24</v>
      </c>
      <c r="D5" s="90" t="s">
        <v>58</v>
      </c>
      <c r="E5" s="75"/>
      <c r="F5" s="76">
        <v>7865000</v>
      </c>
      <c r="G5" s="91"/>
      <c r="H5" s="92"/>
      <c r="I5" s="93"/>
      <c r="J5" s="49"/>
      <c r="K5" s="54"/>
    </row>
    <row r="6" spans="2:11" x14ac:dyDescent="0.25">
      <c r="C6" s="10"/>
      <c r="D6" s="11"/>
      <c r="F6" s="13"/>
      <c r="G6" s="14"/>
      <c r="I6" s="12"/>
    </row>
    <row r="7" spans="2:11" x14ac:dyDescent="0.25">
      <c r="C7" s="10"/>
      <c r="D7" s="10"/>
      <c r="F7" s="15"/>
      <c r="G7" s="16"/>
      <c r="I7" s="17"/>
    </row>
    <row r="8" spans="2:11" x14ac:dyDescent="0.25">
      <c r="B8" s="174" t="s">
        <v>7</v>
      </c>
      <c r="C8" s="175"/>
      <c r="D8" s="175"/>
      <c r="E8" s="176"/>
      <c r="F8" s="18">
        <v>0</v>
      </c>
      <c r="G8" s="16"/>
      <c r="I8" s="17"/>
    </row>
    <row r="9" spans="2:11" x14ac:dyDescent="0.25">
      <c r="B9" s="174" t="s">
        <v>8</v>
      </c>
      <c r="C9" s="175"/>
      <c r="D9" s="175"/>
      <c r="E9" s="176" t="s">
        <v>9</v>
      </c>
      <c r="F9" s="18">
        <v>0</v>
      </c>
      <c r="G9" s="16"/>
      <c r="I9" s="17"/>
    </row>
    <row r="10" spans="2:11" x14ac:dyDescent="0.25">
      <c r="B10" s="174" t="s">
        <v>10</v>
      </c>
      <c r="C10" s="175"/>
      <c r="D10" s="175"/>
      <c r="E10" s="176" t="s">
        <v>11</v>
      </c>
      <c r="F10" s="18">
        <f>+F8-F9</f>
        <v>0</v>
      </c>
      <c r="G10" s="16"/>
      <c r="I10" s="17"/>
    </row>
    <row r="11" spans="2:11" x14ac:dyDescent="0.25">
      <c r="F11" s="19"/>
    </row>
    <row r="12" spans="2:11" x14ac:dyDescent="0.25">
      <c r="B12" s="177" t="s">
        <v>12</v>
      </c>
      <c r="C12" s="178"/>
      <c r="D12" s="178"/>
      <c r="E12" s="179"/>
      <c r="F12" s="20">
        <v>0</v>
      </c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7"/>
  <sheetViews>
    <sheetView showGridLines="0" topLeftCell="A86" workbookViewId="0">
      <selection activeCell="F105" sqref="F105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39.42578125" bestFit="1" customWidth="1"/>
    <col min="8" max="8" width="17.285156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1" ht="15.75" x14ac:dyDescent="0.25">
      <c r="B1" s="35" t="s">
        <v>20</v>
      </c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x14ac:dyDescent="0.25">
      <c r="B4" s="5"/>
      <c r="C4" s="6"/>
      <c r="D4" s="6"/>
      <c r="E4" s="5"/>
      <c r="F4" s="65">
        <v>-194.45</v>
      </c>
      <c r="G4" s="7"/>
      <c r="H4" s="8"/>
      <c r="I4" s="7"/>
      <c r="J4" s="51"/>
      <c r="K4" s="53"/>
    </row>
    <row r="5" spans="2:11" s="23" customFormat="1" x14ac:dyDescent="0.25">
      <c r="B5" s="61">
        <v>45232</v>
      </c>
      <c r="C5" s="62" t="s">
        <v>24</v>
      </c>
      <c r="D5" s="63">
        <v>200001287</v>
      </c>
      <c r="E5" s="64">
        <f t="shared" ref="E5:E11" si="0">+B5+10</f>
        <v>45242</v>
      </c>
      <c r="F5" s="65">
        <v>12100000</v>
      </c>
      <c r="G5" s="79" t="s">
        <v>39</v>
      </c>
      <c r="H5" s="68" t="s">
        <v>35</v>
      </c>
      <c r="I5" s="86" t="s">
        <v>45</v>
      </c>
      <c r="J5" s="49"/>
      <c r="K5" s="54"/>
    </row>
    <row r="6" spans="2:11" s="23" customFormat="1" x14ac:dyDescent="0.25">
      <c r="B6" s="61">
        <v>45239</v>
      </c>
      <c r="C6" s="62" t="s">
        <v>24</v>
      </c>
      <c r="D6" s="63">
        <v>200001288</v>
      </c>
      <c r="E6" s="64">
        <f t="shared" si="0"/>
        <v>45249</v>
      </c>
      <c r="F6" s="65">
        <v>2936298.53</v>
      </c>
      <c r="G6" s="79" t="s">
        <v>39</v>
      </c>
      <c r="H6" s="68" t="s">
        <v>35</v>
      </c>
      <c r="I6" s="86" t="s">
        <v>45</v>
      </c>
      <c r="J6" s="49"/>
      <c r="K6" s="54"/>
    </row>
    <row r="7" spans="2:11" s="23" customFormat="1" x14ac:dyDescent="0.25">
      <c r="B7" s="61">
        <v>45239</v>
      </c>
      <c r="C7" s="62" t="s">
        <v>24</v>
      </c>
      <c r="D7" s="63">
        <v>200001289</v>
      </c>
      <c r="E7" s="64">
        <f t="shared" si="0"/>
        <v>45249</v>
      </c>
      <c r="F7" s="65">
        <v>2064353.17</v>
      </c>
      <c r="G7" s="79" t="s">
        <v>36</v>
      </c>
      <c r="H7" s="68" t="s">
        <v>35</v>
      </c>
      <c r="I7" s="86" t="s">
        <v>45</v>
      </c>
      <c r="J7" s="49"/>
      <c r="K7" s="54"/>
    </row>
    <row r="8" spans="2:11" s="23" customFormat="1" x14ac:dyDescent="0.25">
      <c r="B8" s="61">
        <v>45287</v>
      </c>
      <c r="C8" s="62" t="s">
        <v>24</v>
      </c>
      <c r="D8" s="63">
        <v>200001292</v>
      </c>
      <c r="E8" s="64">
        <f t="shared" si="0"/>
        <v>45297</v>
      </c>
      <c r="F8" s="65">
        <v>11783973.41</v>
      </c>
      <c r="G8" s="79" t="s">
        <v>37</v>
      </c>
      <c r="H8" s="68" t="s">
        <v>35</v>
      </c>
      <c r="I8" s="86" t="s">
        <v>45</v>
      </c>
      <c r="J8" s="49"/>
      <c r="K8" s="54"/>
    </row>
    <row r="9" spans="2:11" s="23" customFormat="1" x14ac:dyDescent="0.25">
      <c r="B9" s="61">
        <v>45287</v>
      </c>
      <c r="C9" s="62" t="s">
        <v>24</v>
      </c>
      <c r="D9" s="63">
        <v>200001293</v>
      </c>
      <c r="E9" s="64">
        <f t="shared" si="0"/>
        <v>45297</v>
      </c>
      <c r="F9" s="65">
        <v>850644.52</v>
      </c>
      <c r="G9" s="79" t="s">
        <v>38</v>
      </c>
      <c r="H9" s="68" t="s">
        <v>35</v>
      </c>
      <c r="I9" s="86" t="s">
        <v>45</v>
      </c>
      <c r="J9" s="49"/>
      <c r="K9" s="54"/>
    </row>
    <row r="10" spans="2:11" s="23" customFormat="1" x14ac:dyDescent="0.25">
      <c r="B10" s="61">
        <v>45296</v>
      </c>
      <c r="C10" s="62" t="s">
        <v>24</v>
      </c>
      <c r="D10" s="63">
        <v>200001297</v>
      </c>
      <c r="E10" s="64">
        <f t="shared" si="0"/>
        <v>45306</v>
      </c>
      <c r="F10" s="65">
        <v>14124738.34</v>
      </c>
      <c r="G10" s="79" t="s">
        <v>33</v>
      </c>
      <c r="H10" s="68" t="s">
        <v>35</v>
      </c>
      <c r="I10" s="86" t="s">
        <v>45</v>
      </c>
      <c r="J10" s="49"/>
      <c r="K10" s="54"/>
    </row>
    <row r="11" spans="2:11" s="23" customFormat="1" x14ac:dyDescent="0.25">
      <c r="B11" s="61">
        <v>45296</v>
      </c>
      <c r="C11" s="62" t="s">
        <v>24</v>
      </c>
      <c r="D11" s="63">
        <v>200001298</v>
      </c>
      <c r="E11" s="64">
        <f t="shared" si="0"/>
        <v>45306</v>
      </c>
      <c r="F11" s="65">
        <v>419125.85</v>
      </c>
      <c r="G11" s="79" t="s">
        <v>32</v>
      </c>
      <c r="H11" s="68" t="s">
        <v>35</v>
      </c>
      <c r="I11" s="86" t="s">
        <v>45</v>
      </c>
      <c r="J11" s="49"/>
      <c r="K11" s="54"/>
    </row>
    <row r="12" spans="2:11" s="23" customFormat="1" x14ac:dyDescent="0.25">
      <c r="B12" s="61">
        <v>45356</v>
      </c>
      <c r="C12" s="62" t="s">
        <v>24</v>
      </c>
      <c r="D12" s="63">
        <v>200001305</v>
      </c>
      <c r="E12" s="64">
        <f>+B12+30</f>
        <v>45386</v>
      </c>
      <c r="F12" s="65">
        <v>99210.32</v>
      </c>
      <c r="G12" s="79" t="s">
        <v>43</v>
      </c>
      <c r="H12" s="68" t="s">
        <v>35</v>
      </c>
      <c r="I12" s="86" t="s">
        <v>45</v>
      </c>
      <c r="J12" s="49"/>
      <c r="K12" s="54"/>
    </row>
    <row r="13" spans="2:11" s="23" customFormat="1" x14ac:dyDescent="0.25">
      <c r="B13" s="61">
        <v>45357</v>
      </c>
      <c r="C13" s="62" t="s">
        <v>24</v>
      </c>
      <c r="D13" s="63">
        <v>200001306</v>
      </c>
      <c r="E13" s="64">
        <f t="shared" ref="E13:E34" si="1">+B13+30</f>
        <v>45387</v>
      </c>
      <c r="F13" s="65">
        <v>9451975.5</v>
      </c>
      <c r="G13" s="79" t="s">
        <v>44</v>
      </c>
      <c r="H13" s="68" t="s">
        <v>35</v>
      </c>
      <c r="I13" s="86" t="s">
        <v>45</v>
      </c>
      <c r="J13" s="49"/>
      <c r="K13" s="54"/>
    </row>
    <row r="14" spans="2:11" s="23" customFormat="1" x14ac:dyDescent="0.25">
      <c r="B14" s="61">
        <v>45376</v>
      </c>
      <c r="C14" s="62" t="s">
        <v>24</v>
      </c>
      <c r="D14" s="63">
        <v>200001311</v>
      </c>
      <c r="E14" s="64">
        <f t="shared" si="1"/>
        <v>45406</v>
      </c>
      <c r="F14" s="65">
        <v>9047172.8300000001</v>
      </c>
      <c r="G14" s="79" t="s">
        <v>53</v>
      </c>
      <c r="H14" s="68" t="s">
        <v>45</v>
      </c>
      <c r="I14" s="86" t="s">
        <v>45</v>
      </c>
      <c r="J14" s="49"/>
      <c r="K14" s="54"/>
    </row>
    <row r="15" spans="2:11" s="23" customFormat="1" x14ac:dyDescent="0.25">
      <c r="B15" s="61">
        <v>45376</v>
      </c>
      <c r="C15" s="62" t="s">
        <v>24</v>
      </c>
      <c r="D15" s="63">
        <v>200001312</v>
      </c>
      <c r="E15" s="64">
        <f t="shared" si="1"/>
        <v>45406</v>
      </c>
      <c r="F15" s="65">
        <v>2192303.29</v>
      </c>
      <c r="G15" s="79" t="s">
        <v>54</v>
      </c>
      <c r="H15" s="68" t="s">
        <v>45</v>
      </c>
      <c r="I15" s="86" t="s">
        <v>45</v>
      </c>
      <c r="J15" s="49"/>
      <c r="K15" s="54"/>
    </row>
    <row r="16" spans="2:11" s="23" customFormat="1" x14ac:dyDescent="0.25">
      <c r="B16" s="61">
        <v>45377</v>
      </c>
      <c r="C16" s="62" t="s">
        <v>46</v>
      </c>
      <c r="D16" s="63">
        <v>200000095</v>
      </c>
      <c r="E16" s="64">
        <f t="shared" si="1"/>
        <v>45407</v>
      </c>
      <c r="F16" s="65">
        <v>-9047172.8300000001</v>
      </c>
      <c r="G16" s="79" t="s">
        <v>64</v>
      </c>
      <c r="H16" s="68" t="s">
        <v>45</v>
      </c>
      <c r="I16" s="86" t="s">
        <v>45</v>
      </c>
      <c r="J16" s="49"/>
      <c r="K16" s="54"/>
    </row>
    <row r="17" spans="2:11" s="23" customFormat="1" x14ac:dyDescent="0.25">
      <c r="B17" s="61">
        <v>45377</v>
      </c>
      <c r="C17" s="62" t="s">
        <v>46</v>
      </c>
      <c r="D17" s="63">
        <v>200000096</v>
      </c>
      <c r="E17" s="64">
        <f t="shared" si="1"/>
        <v>45407</v>
      </c>
      <c r="F17" s="65">
        <v>-2192303.29</v>
      </c>
      <c r="G17" s="79" t="s">
        <v>65</v>
      </c>
      <c r="H17" s="68" t="s">
        <v>45</v>
      </c>
      <c r="I17" s="86" t="s">
        <v>45</v>
      </c>
      <c r="J17" s="49"/>
      <c r="K17" s="54"/>
    </row>
    <row r="18" spans="2:11" s="23" customFormat="1" x14ac:dyDescent="0.25">
      <c r="B18" s="61">
        <v>45377</v>
      </c>
      <c r="C18" s="62" t="s">
        <v>46</v>
      </c>
      <c r="D18" s="63">
        <v>200000098</v>
      </c>
      <c r="E18" s="64">
        <f t="shared" si="1"/>
        <v>45407</v>
      </c>
      <c r="F18" s="65">
        <v>-4684530.84</v>
      </c>
      <c r="G18" s="79" t="s">
        <v>66</v>
      </c>
      <c r="H18" s="68" t="s">
        <v>45</v>
      </c>
      <c r="I18" s="86" t="s">
        <v>45</v>
      </c>
      <c r="J18" s="49"/>
      <c r="K18" s="54"/>
    </row>
    <row r="19" spans="2:11" s="23" customFormat="1" x14ac:dyDescent="0.25">
      <c r="B19" s="61">
        <v>45407</v>
      </c>
      <c r="C19" s="62" t="s">
        <v>24</v>
      </c>
      <c r="D19" s="63">
        <v>200001317</v>
      </c>
      <c r="E19" s="64">
        <f t="shared" si="1"/>
        <v>45437</v>
      </c>
      <c r="F19" s="65">
        <v>9047172.8300000001</v>
      </c>
      <c r="G19" s="79" t="s">
        <v>53</v>
      </c>
      <c r="H19" s="68" t="s">
        <v>35</v>
      </c>
      <c r="I19" s="86" t="s">
        <v>45</v>
      </c>
      <c r="J19" s="49"/>
      <c r="K19" s="54"/>
    </row>
    <row r="20" spans="2:11" s="23" customFormat="1" x14ac:dyDescent="0.25">
      <c r="B20" s="61">
        <v>45407</v>
      </c>
      <c r="C20" s="62" t="s">
        <v>24</v>
      </c>
      <c r="D20" s="63">
        <v>200001318</v>
      </c>
      <c r="E20" s="64">
        <f t="shared" si="1"/>
        <v>45437</v>
      </c>
      <c r="F20" s="65">
        <v>2192303.29</v>
      </c>
      <c r="G20" s="79" t="s">
        <v>54</v>
      </c>
      <c r="H20" s="68" t="s">
        <v>35</v>
      </c>
      <c r="I20" s="86" t="s">
        <v>45</v>
      </c>
      <c r="J20" s="49"/>
      <c r="K20" s="54"/>
    </row>
    <row r="21" spans="2:11" s="23" customFormat="1" x14ac:dyDescent="0.25">
      <c r="B21" s="61">
        <v>45435</v>
      </c>
      <c r="C21" s="62" t="s">
        <v>24</v>
      </c>
      <c r="D21" s="63">
        <v>200001319</v>
      </c>
      <c r="E21" s="64">
        <f t="shared" si="1"/>
        <v>45465</v>
      </c>
      <c r="F21" s="65">
        <v>6954748.8700000001</v>
      </c>
      <c r="G21" s="79" t="s">
        <v>27</v>
      </c>
      <c r="H21" s="68" t="s">
        <v>35</v>
      </c>
      <c r="I21" s="86" t="s">
        <v>45</v>
      </c>
      <c r="J21" s="49"/>
      <c r="K21" s="54"/>
    </row>
    <row r="22" spans="2:11" s="23" customFormat="1" x14ac:dyDescent="0.25">
      <c r="B22" s="61">
        <v>45440</v>
      </c>
      <c r="C22" s="62" t="s">
        <v>24</v>
      </c>
      <c r="D22" s="63">
        <v>200001320</v>
      </c>
      <c r="E22" s="64">
        <f t="shared" si="1"/>
        <v>45470</v>
      </c>
      <c r="F22" s="65">
        <v>19705714.280000001</v>
      </c>
      <c r="G22" s="79" t="s">
        <v>69</v>
      </c>
      <c r="H22" s="68" t="s">
        <v>35</v>
      </c>
      <c r="I22" s="86" t="s">
        <v>45</v>
      </c>
      <c r="J22" s="49"/>
      <c r="K22" s="54"/>
    </row>
    <row r="23" spans="2:11" s="23" customFormat="1" x14ac:dyDescent="0.25">
      <c r="B23" s="61">
        <v>45440</v>
      </c>
      <c r="C23" s="62" t="s">
        <v>24</v>
      </c>
      <c r="D23" s="63">
        <v>200001321</v>
      </c>
      <c r="E23" s="64">
        <f t="shared" si="1"/>
        <v>45470</v>
      </c>
      <c r="F23" s="65">
        <v>691428.57</v>
      </c>
      <c r="G23" s="79" t="s">
        <v>70</v>
      </c>
      <c r="H23" s="68" t="s">
        <v>35</v>
      </c>
      <c r="I23" s="86" t="s">
        <v>45</v>
      </c>
      <c r="J23" s="49"/>
      <c r="K23" s="54"/>
    </row>
    <row r="24" spans="2:11" s="23" customFormat="1" x14ac:dyDescent="0.25">
      <c r="B24" s="61">
        <v>45440</v>
      </c>
      <c r="C24" s="62" t="s">
        <v>24</v>
      </c>
      <c r="D24" s="63">
        <v>200001322</v>
      </c>
      <c r="E24" s="64">
        <f t="shared" si="1"/>
        <v>45470</v>
      </c>
      <c r="F24" s="65">
        <v>2074285.72</v>
      </c>
      <c r="G24" s="79" t="s">
        <v>71</v>
      </c>
      <c r="H24" s="68" t="s">
        <v>35</v>
      </c>
      <c r="I24" s="86" t="s">
        <v>45</v>
      </c>
      <c r="J24" s="49"/>
      <c r="K24" s="54"/>
    </row>
    <row r="25" spans="2:11" s="23" customFormat="1" x14ac:dyDescent="0.25">
      <c r="B25" s="61">
        <v>45440</v>
      </c>
      <c r="C25" s="62" t="s">
        <v>24</v>
      </c>
      <c r="D25" s="63">
        <v>200001324</v>
      </c>
      <c r="E25" s="64">
        <f>+B25+30</f>
        <v>45470</v>
      </c>
      <c r="F25" s="65">
        <v>24817914.210000001</v>
      </c>
      <c r="G25" s="79" t="s">
        <v>74</v>
      </c>
      <c r="H25" s="64" t="s">
        <v>35</v>
      </c>
      <c r="I25" s="86" t="s">
        <v>45</v>
      </c>
      <c r="J25" s="49"/>
      <c r="K25" s="54"/>
    </row>
    <row r="26" spans="2:11" s="23" customFormat="1" x14ac:dyDescent="0.25">
      <c r="B26" s="61">
        <v>45446</v>
      </c>
      <c r="C26" s="62" t="s">
        <v>24</v>
      </c>
      <c r="D26" s="63">
        <v>200001327</v>
      </c>
      <c r="E26" s="64">
        <f t="shared" si="1"/>
        <v>45476</v>
      </c>
      <c r="F26" s="65">
        <v>15750000.01</v>
      </c>
      <c r="G26" s="79" t="s">
        <v>75</v>
      </c>
      <c r="H26" s="64" t="s">
        <v>35</v>
      </c>
      <c r="I26" s="86" t="s">
        <v>45</v>
      </c>
      <c r="J26" s="49"/>
      <c r="K26" s="54"/>
    </row>
    <row r="27" spans="2:11" s="23" customFormat="1" x14ac:dyDescent="0.25">
      <c r="B27" s="61">
        <v>45446</v>
      </c>
      <c r="C27" s="62" t="s">
        <v>24</v>
      </c>
      <c r="D27" s="63">
        <v>200001328</v>
      </c>
      <c r="E27" s="64">
        <f t="shared" si="1"/>
        <v>45476</v>
      </c>
      <c r="F27" s="65">
        <v>1000000</v>
      </c>
      <c r="G27" s="79" t="s">
        <v>76</v>
      </c>
      <c r="H27" s="68" t="s">
        <v>35</v>
      </c>
      <c r="I27" s="86" t="s">
        <v>45</v>
      </c>
      <c r="J27" s="49"/>
      <c r="K27" s="54"/>
    </row>
    <row r="28" spans="2:11" s="23" customFormat="1" x14ac:dyDescent="0.25">
      <c r="B28" s="61">
        <v>45446</v>
      </c>
      <c r="C28" s="62" t="s">
        <v>24</v>
      </c>
      <c r="D28" s="63">
        <v>200001329</v>
      </c>
      <c r="E28" s="64">
        <f t="shared" si="1"/>
        <v>45476</v>
      </c>
      <c r="F28" s="65">
        <v>1250000</v>
      </c>
      <c r="G28" s="79" t="s">
        <v>77</v>
      </c>
      <c r="H28" s="64" t="s">
        <v>35</v>
      </c>
      <c r="I28" s="86" t="s">
        <v>45</v>
      </c>
      <c r="J28" s="49"/>
      <c r="K28" s="54"/>
    </row>
    <row r="29" spans="2:11" s="23" customFormat="1" x14ac:dyDescent="0.25">
      <c r="B29" s="61">
        <v>45474</v>
      </c>
      <c r="C29" s="62" t="s">
        <v>24</v>
      </c>
      <c r="D29" s="63">
        <v>200001331</v>
      </c>
      <c r="E29" s="64">
        <f t="shared" si="1"/>
        <v>45504</v>
      </c>
      <c r="F29" s="65">
        <v>920000</v>
      </c>
      <c r="G29" s="79" t="s">
        <v>80</v>
      </c>
      <c r="H29" s="64" t="s">
        <v>35</v>
      </c>
      <c r="I29" s="86" t="s">
        <v>45</v>
      </c>
      <c r="J29" s="49"/>
      <c r="K29" s="54"/>
    </row>
    <row r="30" spans="2:11" s="23" customFormat="1" x14ac:dyDescent="0.25">
      <c r="B30" s="61">
        <v>45474</v>
      </c>
      <c r="C30" s="62" t="s">
        <v>24</v>
      </c>
      <c r="D30" s="63">
        <v>200001332</v>
      </c>
      <c r="E30" s="64">
        <f t="shared" si="1"/>
        <v>45504</v>
      </c>
      <c r="F30" s="65">
        <v>11620000.01</v>
      </c>
      <c r="G30" s="79" t="s">
        <v>81</v>
      </c>
      <c r="H30" s="64" t="s">
        <v>35</v>
      </c>
      <c r="I30" s="86" t="s">
        <v>45</v>
      </c>
      <c r="J30" s="49"/>
      <c r="K30" s="54"/>
    </row>
    <row r="31" spans="2:11" s="23" customFormat="1" x14ac:dyDescent="0.25">
      <c r="B31" s="61">
        <v>45474</v>
      </c>
      <c r="C31" s="62" t="s">
        <v>24</v>
      </c>
      <c r="D31" s="63">
        <v>200001333</v>
      </c>
      <c r="E31" s="64">
        <f t="shared" si="1"/>
        <v>45504</v>
      </c>
      <c r="F31" s="65">
        <v>740000</v>
      </c>
      <c r="G31" s="79" t="s">
        <v>82</v>
      </c>
      <c r="H31" s="64" t="s">
        <v>35</v>
      </c>
      <c r="I31" s="86" t="s">
        <v>45</v>
      </c>
      <c r="J31" s="49"/>
      <c r="K31" s="54"/>
    </row>
    <row r="32" spans="2:11" s="23" customFormat="1" x14ac:dyDescent="0.25">
      <c r="B32" s="61">
        <v>45505</v>
      </c>
      <c r="C32" s="62" t="s">
        <v>24</v>
      </c>
      <c r="D32" s="63">
        <v>200001335</v>
      </c>
      <c r="E32" s="64">
        <f t="shared" si="1"/>
        <v>45535</v>
      </c>
      <c r="F32" s="65">
        <v>1512500</v>
      </c>
      <c r="G32" s="79" t="s">
        <v>80</v>
      </c>
      <c r="H32" s="64" t="s">
        <v>35</v>
      </c>
      <c r="I32" s="86" t="s">
        <v>45</v>
      </c>
      <c r="J32" s="49"/>
      <c r="K32" s="54"/>
    </row>
    <row r="33" spans="2:11" s="23" customFormat="1" x14ac:dyDescent="0.25">
      <c r="B33" s="61">
        <v>45505</v>
      </c>
      <c r="C33" s="62" t="s">
        <v>24</v>
      </c>
      <c r="D33" s="63">
        <v>200001336</v>
      </c>
      <c r="E33" s="64">
        <f t="shared" si="1"/>
        <v>45535</v>
      </c>
      <c r="F33" s="65">
        <v>17545000</v>
      </c>
      <c r="G33" s="79" t="s">
        <v>81</v>
      </c>
      <c r="H33" s="64" t="s">
        <v>35</v>
      </c>
      <c r="I33" s="86" t="s">
        <v>45</v>
      </c>
      <c r="J33" s="49"/>
      <c r="K33" s="54"/>
    </row>
    <row r="34" spans="2:11" s="23" customFormat="1" x14ac:dyDescent="0.25">
      <c r="B34" s="61">
        <v>45505</v>
      </c>
      <c r="C34" s="62" t="s">
        <v>24</v>
      </c>
      <c r="D34" s="63">
        <v>200001337</v>
      </c>
      <c r="E34" s="64">
        <f t="shared" si="1"/>
        <v>45535</v>
      </c>
      <c r="F34" s="65">
        <v>1210000</v>
      </c>
      <c r="G34" s="79" t="s">
        <v>82</v>
      </c>
      <c r="H34" s="64" t="s">
        <v>35</v>
      </c>
      <c r="I34" s="86" t="s">
        <v>45</v>
      </c>
      <c r="J34" s="49"/>
      <c r="K34" s="54"/>
    </row>
    <row r="35" spans="2:11" s="23" customFormat="1" x14ac:dyDescent="0.25">
      <c r="B35" s="61">
        <v>45537</v>
      </c>
      <c r="C35" s="62" t="s">
        <v>24</v>
      </c>
      <c r="D35" s="63">
        <v>200001340</v>
      </c>
      <c r="E35" s="64">
        <f>+B35+0</f>
        <v>45537</v>
      </c>
      <c r="F35" s="65">
        <v>1512500</v>
      </c>
      <c r="G35" s="79" t="s">
        <v>80</v>
      </c>
      <c r="H35" s="64" t="s">
        <v>35</v>
      </c>
      <c r="I35" s="86" t="s">
        <v>45</v>
      </c>
      <c r="J35" s="49"/>
      <c r="K35" s="54"/>
    </row>
    <row r="36" spans="2:11" s="23" customFormat="1" x14ac:dyDescent="0.25">
      <c r="B36" s="61">
        <v>45537</v>
      </c>
      <c r="C36" s="62" t="s">
        <v>24</v>
      </c>
      <c r="D36" s="63">
        <v>200001342</v>
      </c>
      <c r="E36" s="64">
        <f t="shared" ref="E36:E46" si="2">+B36+0</f>
        <v>45537</v>
      </c>
      <c r="F36" s="65">
        <v>17545000</v>
      </c>
      <c r="G36" s="79" t="s">
        <v>81</v>
      </c>
      <c r="H36" s="64" t="s">
        <v>35</v>
      </c>
      <c r="I36" s="86" t="s">
        <v>45</v>
      </c>
      <c r="J36" s="49"/>
      <c r="K36" s="54"/>
    </row>
    <row r="37" spans="2:11" s="23" customFormat="1" x14ac:dyDescent="0.25">
      <c r="B37" s="61">
        <v>45537</v>
      </c>
      <c r="C37" s="62" t="s">
        <v>24</v>
      </c>
      <c r="D37" s="63">
        <v>200001343</v>
      </c>
      <c r="E37" s="64">
        <f t="shared" si="2"/>
        <v>45537</v>
      </c>
      <c r="F37" s="65">
        <v>1210000</v>
      </c>
      <c r="G37" s="79" t="s">
        <v>82</v>
      </c>
      <c r="H37" s="64" t="s">
        <v>35</v>
      </c>
      <c r="I37" s="86" t="s">
        <v>45</v>
      </c>
      <c r="J37" s="49"/>
      <c r="K37" s="54"/>
    </row>
    <row r="38" spans="2:11" s="23" customFormat="1" x14ac:dyDescent="0.25">
      <c r="B38" s="61">
        <v>45568</v>
      </c>
      <c r="C38" s="62" t="s">
        <v>24</v>
      </c>
      <c r="D38" s="63">
        <v>200001346</v>
      </c>
      <c r="E38" s="64">
        <f t="shared" si="2"/>
        <v>45568</v>
      </c>
      <c r="F38" s="65">
        <v>1902551.39</v>
      </c>
      <c r="G38" s="79" t="s">
        <v>80</v>
      </c>
      <c r="H38" s="64" t="s">
        <v>35</v>
      </c>
      <c r="I38" s="86" t="s">
        <v>45</v>
      </c>
      <c r="J38" s="49"/>
      <c r="K38" s="54"/>
    </row>
    <row r="39" spans="2:11" s="23" customFormat="1" x14ac:dyDescent="0.25">
      <c r="B39" s="61">
        <v>45568</v>
      </c>
      <c r="C39" s="62" t="s">
        <v>24</v>
      </c>
      <c r="D39" s="63">
        <v>200001348</v>
      </c>
      <c r="E39" s="64">
        <f t="shared" si="2"/>
        <v>45568</v>
      </c>
      <c r="F39" s="65">
        <v>22069596.079999998</v>
      </c>
      <c r="G39" s="79" t="s">
        <v>81</v>
      </c>
      <c r="H39" s="64" t="s">
        <v>35</v>
      </c>
      <c r="I39" s="86" t="s">
        <v>45</v>
      </c>
      <c r="J39" s="49"/>
      <c r="K39" s="54"/>
    </row>
    <row r="40" spans="2:11" s="23" customFormat="1" x14ac:dyDescent="0.25">
      <c r="B40" s="61">
        <v>45568</v>
      </c>
      <c r="C40" s="62" t="s">
        <v>24</v>
      </c>
      <c r="D40" s="63">
        <v>200001349</v>
      </c>
      <c r="E40" s="64">
        <f t="shared" si="2"/>
        <v>45568</v>
      </c>
      <c r="F40" s="65">
        <v>1522041.1</v>
      </c>
      <c r="G40" s="79" t="s">
        <v>82</v>
      </c>
      <c r="H40" s="64" t="s">
        <v>35</v>
      </c>
      <c r="I40" s="86" t="s">
        <v>45</v>
      </c>
      <c r="J40" s="49"/>
      <c r="K40" s="54"/>
    </row>
    <row r="41" spans="2:11" s="23" customFormat="1" x14ac:dyDescent="0.25">
      <c r="B41" s="61">
        <v>45600</v>
      </c>
      <c r="C41" s="62" t="s">
        <v>24</v>
      </c>
      <c r="D41" s="63">
        <v>200001350</v>
      </c>
      <c r="E41" s="64">
        <f t="shared" si="2"/>
        <v>45600</v>
      </c>
      <c r="F41" s="65">
        <v>1968554.86</v>
      </c>
      <c r="G41" s="79" t="s">
        <v>80</v>
      </c>
      <c r="H41" s="64" t="s">
        <v>35</v>
      </c>
      <c r="I41" s="86" t="s">
        <v>45</v>
      </c>
      <c r="J41" s="49"/>
      <c r="K41" s="54"/>
    </row>
    <row r="42" spans="2:11" s="23" customFormat="1" x14ac:dyDescent="0.25">
      <c r="B42" s="61">
        <v>45600</v>
      </c>
      <c r="C42" s="62" t="s">
        <v>24</v>
      </c>
      <c r="D42" s="63">
        <v>200001352</v>
      </c>
      <c r="E42" s="64">
        <f t="shared" si="2"/>
        <v>45600</v>
      </c>
      <c r="F42" s="65">
        <v>22835236.289999999</v>
      </c>
      <c r="G42" s="79" t="s">
        <v>81</v>
      </c>
      <c r="H42" s="64" t="s">
        <v>35</v>
      </c>
      <c r="I42" s="86" t="s">
        <v>45</v>
      </c>
      <c r="J42" s="49"/>
      <c r="K42" s="54"/>
    </row>
    <row r="43" spans="2:11" s="23" customFormat="1" x14ac:dyDescent="0.25">
      <c r="B43" s="61">
        <v>45600</v>
      </c>
      <c r="C43" s="62" t="s">
        <v>24</v>
      </c>
      <c r="D43" s="63">
        <v>200001353</v>
      </c>
      <c r="E43" s="64">
        <f t="shared" si="2"/>
        <v>45600</v>
      </c>
      <c r="F43" s="65">
        <v>15748843.880000001</v>
      </c>
      <c r="G43" s="79" t="s">
        <v>82</v>
      </c>
      <c r="H43" s="64" t="s">
        <v>35</v>
      </c>
      <c r="I43" s="86" t="s">
        <v>45</v>
      </c>
      <c r="J43" s="49"/>
      <c r="K43" s="54"/>
    </row>
    <row r="44" spans="2:11" s="23" customFormat="1" x14ac:dyDescent="0.25">
      <c r="B44" s="61">
        <v>45629</v>
      </c>
      <c r="C44" s="62" t="s">
        <v>24</v>
      </c>
      <c r="D44" s="63" t="s">
        <v>112</v>
      </c>
      <c r="E44" s="64">
        <f t="shared" si="2"/>
        <v>45629</v>
      </c>
      <c r="F44" s="65">
        <v>2021543.19</v>
      </c>
      <c r="G44" s="79" t="s">
        <v>80</v>
      </c>
      <c r="H44" s="64" t="s">
        <v>35</v>
      </c>
      <c r="I44" s="86" t="s">
        <v>45</v>
      </c>
      <c r="J44" s="49"/>
      <c r="K44" s="54"/>
    </row>
    <row r="45" spans="2:11" s="23" customFormat="1" x14ac:dyDescent="0.25">
      <c r="B45" s="61">
        <v>45629</v>
      </c>
      <c r="C45" s="62" t="s">
        <v>24</v>
      </c>
      <c r="D45" s="63" t="s">
        <v>113</v>
      </c>
      <c r="E45" s="64">
        <f t="shared" si="2"/>
        <v>45629</v>
      </c>
      <c r="F45" s="65">
        <v>23449901.039999999</v>
      </c>
      <c r="G45" s="79" t="s">
        <v>81</v>
      </c>
      <c r="H45" s="64" t="s">
        <v>35</v>
      </c>
      <c r="I45" s="86" t="s">
        <v>45</v>
      </c>
      <c r="J45" s="49"/>
      <c r="K45" s="54"/>
    </row>
    <row r="46" spans="2:11" s="23" customFormat="1" x14ac:dyDescent="0.25">
      <c r="B46" s="61">
        <v>45629</v>
      </c>
      <c r="C46" s="62" t="s">
        <v>24</v>
      </c>
      <c r="D46" s="63" t="s">
        <v>114</v>
      </c>
      <c r="E46" s="64">
        <f t="shared" si="2"/>
        <v>45629</v>
      </c>
      <c r="F46" s="65">
        <v>1617234.55</v>
      </c>
      <c r="G46" s="79" t="s">
        <v>82</v>
      </c>
      <c r="H46" s="64" t="s">
        <v>35</v>
      </c>
      <c r="I46" s="86" t="s">
        <v>45</v>
      </c>
      <c r="J46" s="49"/>
      <c r="K46" s="54"/>
    </row>
    <row r="47" spans="2:11" s="23" customFormat="1" x14ac:dyDescent="0.25">
      <c r="B47" s="61">
        <v>45659</v>
      </c>
      <c r="C47" s="62" t="s">
        <v>24</v>
      </c>
      <c r="D47" s="63" t="s">
        <v>118</v>
      </c>
      <c r="E47" s="64">
        <f t="shared" ref="E47:E49" si="3">+B47+0</f>
        <v>45659</v>
      </c>
      <c r="F47" s="65">
        <v>2070597.07</v>
      </c>
      <c r="G47" s="79" t="s">
        <v>80</v>
      </c>
      <c r="H47" s="64" t="s">
        <v>35</v>
      </c>
      <c r="I47" s="86" t="s">
        <v>45</v>
      </c>
      <c r="J47" s="49"/>
      <c r="K47" s="54"/>
    </row>
    <row r="48" spans="2:11" s="23" customFormat="1" x14ac:dyDescent="0.25">
      <c r="B48" s="61">
        <v>45659</v>
      </c>
      <c r="C48" s="62" t="s">
        <v>24</v>
      </c>
      <c r="D48" s="63" t="s">
        <v>120</v>
      </c>
      <c r="E48" s="64">
        <f t="shared" si="3"/>
        <v>45659</v>
      </c>
      <c r="F48" s="65">
        <v>24018926.039999999</v>
      </c>
      <c r="G48" s="79" t="s">
        <v>81</v>
      </c>
      <c r="H48" s="64" t="s">
        <v>35</v>
      </c>
      <c r="I48" s="86" t="s">
        <v>45</v>
      </c>
      <c r="J48" s="49"/>
      <c r="K48" s="54"/>
    </row>
    <row r="49" spans="2:14" s="23" customFormat="1" x14ac:dyDescent="0.25">
      <c r="B49" s="61">
        <v>45659</v>
      </c>
      <c r="C49" s="62" t="s">
        <v>24</v>
      </c>
      <c r="D49" s="63" t="s">
        <v>121</v>
      </c>
      <c r="E49" s="64">
        <f t="shared" si="3"/>
        <v>45659</v>
      </c>
      <c r="F49" s="65">
        <v>1656477.66</v>
      </c>
      <c r="G49" s="79" t="s">
        <v>82</v>
      </c>
      <c r="H49" s="64" t="s">
        <v>35</v>
      </c>
      <c r="I49" s="86" t="s">
        <v>45</v>
      </c>
      <c r="J49" s="49"/>
      <c r="K49" s="54"/>
    </row>
    <row r="50" spans="2:14" s="23" customFormat="1" x14ac:dyDescent="0.25">
      <c r="B50" s="61">
        <v>45691</v>
      </c>
      <c r="C50" s="62" t="s">
        <v>24</v>
      </c>
      <c r="D50" s="63" t="s">
        <v>127</v>
      </c>
      <c r="E50" s="64">
        <f t="shared" ref="E50:E52" si="4">+B50+0</f>
        <v>45691</v>
      </c>
      <c r="F50" s="65">
        <v>2126588.1800000002</v>
      </c>
      <c r="G50" s="79" t="s">
        <v>80</v>
      </c>
      <c r="H50" s="64" t="s">
        <v>35</v>
      </c>
      <c r="I50" s="86" t="s">
        <v>45</v>
      </c>
      <c r="J50" s="49"/>
      <c r="K50" s="54"/>
    </row>
    <row r="51" spans="2:14" s="23" customFormat="1" x14ac:dyDescent="0.25">
      <c r="B51" s="61">
        <v>45691</v>
      </c>
      <c r="C51" s="62" t="s">
        <v>24</v>
      </c>
      <c r="D51" s="63" t="s">
        <v>128</v>
      </c>
      <c r="E51" s="64">
        <f t="shared" si="4"/>
        <v>45691</v>
      </c>
      <c r="F51" s="65">
        <v>24668422.789999999</v>
      </c>
      <c r="G51" s="79" t="s">
        <v>81</v>
      </c>
      <c r="H51" s="64" t="s">
        <v>35</v>
      </c>
      <c r="I51" s="86" t="s">
        <v>45</v>
      </c>
      <c r="J51" s="49"/>
      <c r="K51" s="54"/>
    </row>
    <row r="52" spans="2:14" s="23" customFormat="1" x14ac:dyDescent="0.25">
      <c r="B52" s="61">
        <v>45691</v>
      </c>
      <c r="C52" s="62" t="s">
        <v>24</v>
      </c>
      <c r="D52" s="63" t="s">
        <v>129</v>
      </c>
      <c r="E52" s="64">
        <f t="shared" si="4"/>
        <v>45691</v>
      </c>
      <c r="F52" s="65">
        <v>1701270.54</v>
      </c>
      <c r="G52" s="79" t="s">
        <v>82</v>
      </c>
      <c r="H52" s="64" t="s">
        <v>35</v>
      </c>
      <c r="I52" s="86" t="s">
        <v>45</v>
      </c>
      <c r="J52" s="49"/>
      <c r="K52" s="54"/>
    </row>
    <row r="53" spans="2:14" s="23" customFormat="1" x14ac:dyDescent="0.25">
      <c r="B53" s="61">
        <v>45721</v>
      </c>
      <c r="C53" s="62" t="s">
        <v>24</v>
      </c>
      <c r="D53" s="63" t="s">
        <v>143</v>
      </c>
      <c r="E53" s="64">
        <f>+B53+30</f>
        <v>45751</v>
      </c>
      <c r="F53" s="65">
        <v>2173608.06</v>
      </c>
      <c r="G53" s="79" t="s">
        <v>80</v>
      </c>
      <c r="H53" s="64" t="s">
        <v>35</v>
      </c>
      <c r="I53" s="86" t="s">
        <v>45</v>
      </c>
      <c r="J53" s="49"/>
      <c r="K53" s="54"/>
    </row>
    <row r="54" spans="2:14" s="23" customFormat="1" x14ac:dyDescent="0.25">
      <c r="B54" s="61">
        <v>45721</v>
      </c>
      <c r="C54" s="62" t="s">
        <v>24</v>
      </c>
      <c r="D54" s="63" t="s">
        <v>144</v>
      </c>
      <c r="E54" s="64">
        <f t="shared" ref="E54:E55" si="5">+B54+30</f>
        <v>45751</v>
      </c>
      <c r="F54" s="65">
        <v>25213853.460000001</v>
      </c>
      <c r="G54" s="79" t="s">
        <v>81</v>
      </c>
      <c r="H54" s="64" t="s">
        <v>35</v>
      </c>
      <c r="I54" s="86" t="s">
        <v>45</v>
      </c>
      <c r="J54" s="49"/>
      <c r="K54" s="54"/>
    </row>
    <row r="55" spans="2:14" s="23" customFormat="1" x14ac:dyDescent="0.25">
      <c r="B55" s="61">
        <v>45721</v>
      </c>
      <c r="C55" s="62" t="s">
        <v>24</v>
      </c>
      <c r="D55" s="63" t="s">
        <v>145</v>
      </c>
      <c r="E55" s="64">
        <f t="shared" si="5"/>
        <v>45751</v>
      </c>
      <c r="F55" s="65">
        <v>1738886.45</v>
      </c>
      <c r="G55" s="79" t="s">
        <v>82</v>
      </c>
      <c r="H55" s="64" t="s">
        <v>35</v>
      </c>
      <c r="I55" s="86" t="s">
        <v>45</v>
      </c>
      <c r="J55" s="49"/>
      <c r="K55" s="54"/>
    </row>
    <row r="56" spans="2:14" s="23" customFormat="1" x14ac:dyDescent="0.25">
      <c r="B56" s="61">
        <v>45748</v>
      </c>
      <c r="C56" s="62" t="s">
        <v>24</v>
      </c>
      <c r="D56" s="63" t="s">
        <v>156</v>
      </c>
      <c r="E56" s="64">
        <f>+B56+30</f>
        <v>45778</v>
      </c>
      <c r="F56" s="65">
        <v>2225810.0299999998</v>
      </c>
      <c r="G56" s="79" t="s">
        <v>80</v>
      </c>
      <c r="H56" s="64" t="s">
        <v>35</v>
      </c>
      <c r="I56" s="86" t="s">
        <v>45</v>
      </c>
      <c r="J56" s="49"/>
      <c r="K56" s="54"/>
    </row>
    <row r="57" spans="2:14" s="23" customFormat="1" x14ac:dyDescent="0.25">
      <c r="B57" s="61">
        <v>45748</v>
      </c>
      <c r="C57" s="62" t="s">
        <v>24</v>
      </c>
      <c r="D57" s="63" t="s">
        <v>157</v>
      </c>
      <c r="E57" s="64">
        <f t="shared" ref="E57:E60" si="6">+B57+30</f>
        <v>45778</v>
      </c>
      <c r="F57" s="65">
        <v>25819396.289999999</v>
      </c>
      <c r="G57" s="79" t="s">
        <v>81</v>
      </c>
      <c r="H57" s="64" t="s">
        <v>35</v>
      </c>
      <c r="I57" s="86" t="s">
        <v>45</v>
      </c>
      <c r="J57" s="49"/>
      <c r="K57" s="54"/>
    </row>
    <row r="58" spans="2:14" s="23" customFormat="1" x14ac:dyDescent="0.25">
      <c r="B58" s="61">
        <v>45748</v>
      </c>
      <c r="C58" s="62" t="s">
        <v>24</v>
      </c>
      <c r="D58" s="63" t="s">
        <v>158</v>
      </c>
      <c r="E58" s="64">
        <f t="shared" si="6"/>
        <v>45778</v>
      </c>
      <c r="F58" s="65">
        <v>1780648.02</v>
      </c>
      <c r="G58" s="79" t="s">
        <v>82</v>
      </c>
      <c r="H58" s="64" t="s">
        <v>35</v>
      </c>
      <c r="I58" s="86" t="s">
        <v>45</v>
      </c>
      <c r="J58" s="49"/>
      <c r="K58" s="54"/>
    </row>
    <row r="59" spans="2:14" s="23" customFormat="1" x14ac:dyDescent="0.25">
      <c r="B59" s="61">
        <v>45782</v>
      </c>
      <c r="C59" s="62" t="s">
        <v>24</v>
      </c>
      <c r="D59" s="63" t="s">
        <v>173</v>
      </c>
      <c r="E59" s="64">
        <f t="shared" si="6"/>
        <v>45812</v>
      </c>
      <c r="F59" s="65">
        <v>2308817.94</v>
      </c>
      <c r="G59" s="79" t="s">
        <v>80</v>
      </c>
      <c r="H59" s="64" t="s">
        <v>35</v>
      </c>
      <c r="I59" s="86" t="s">
        <v>45</v>
      </c>
      <c r="J59" s="49"/>
      <c r="K59" s="54"/>
    </row>
    <row r="60" spans="2:14" s="23" customFormat="1" x14ac:dyDescent="0.25">
      <c r="B60" s="61">
        <v>45782</v>
      </c>
      <c r="C60" s="62" t="s">
        <v>24</v>
      </c>
      <c r="D60" s="63" t="s">
        <v>174</v>
      </c>
      <c r="E60" s="64">
        <f t="shared" si="6"/>
        <v>45812</v>
      </c>
      <c r="F60" s="65">
        <v>26782288.140000001</v>
      </c>
      <c r="G60" s="79" t="s">
        <v>81</v>
      </c>
      <c r="H60" s="64" t="s">
        <v>35</v>
      </c>
      <c r="I60" s="86" t="s">
        <v>45</v>
      </c>
      <c r="J60" s="49"/>
      <c r="K60" s="54"/>
    </row>
    <row r="61" spans="2:14" x14ac:dyDescent="0.25">
      <c r="B61" s="61">
        <v>45782</v>
      </c>
      <c r="C61" s="62" t="s">
        <v>24</v>
      </c>
      <c r="D61" s="63" t="s">
        <v>175</v>
      </c>
      <c r="E61" s="64">
        <f t="shared" ref="E61" si="7">+B61+30</f>
        <v>45812</v>
      </c>
      <c r="F61" s="65">
        <v>1847054.35</v>
      </c>
      <c r="G61" s="79" t="s">
        <v>82</v>
      </c>
      <c r="H61" s="64" t="s">
        <v>35</v>
      </c>
      <c r="I61" s="86" t="s">
        <v>45</v>
      </c>
      <c r="J61" s="58"/>
      <c r="K61" s="56"/>
      <c r="N61" s="26"/>
    </row>
    <row r="62" spans="2:14" s="23" customFormat="1" x14ac:dyDescent="0.25">
      <c r="B62" s="61">
        <v>45810</v>
      </c>
      <c r="C62" s="62" t="s">
        <v>24</v>
      </c>
      <c r="D62" s="120" t="s">
        <v>182</v>
      </c>
      <c r="E62" s="64">
        <f>+B62+30</f>
        <v>45840</v>
      </c>
      <c r="F62" s="65">
        <v>2373022.38</v>
      </c>
      <c r="G62" s="79" t="s">
        <v>80</v>
      </c>
      <c r="H62" s="68" t="s">
        <v>35</v>
      </c>
      <c r="I62" s="86" t="s">
        <v>45</v>
      </c>
      <c r="J62" s="49"/>
      <c r="K62" s="54"/>
    </row>
    <row r="63" spans="2:14" s="23" customFormat="1" x14ac:dyDescent="0.25">
      <c r="B63" s="61">
        <v>45810</v>
      </c>
      <c r="C63" s="62" t="s">
        <v>24</v>
      </c>
      <c r="D63" s="120" t="s">
        <v>183</v>
      </c>
      <c r="E63" s="64">
        <f t="shared" ref="E63:E64" si="8">+B63+30</f>
        <v>45840</v>
      </c>
      <c r="F63" s="65">
        <v>27527059.609999999</v>
      </c>
      <c r="G63" s="79" t="s">
        <v>81</v>
      </c>
      <c r="H63" s="68" t="s">
        <v>35</v>
      </c>
      <c r="I63" s="86" t="s">
        <v>45</v>
      </c>
      <c r="J63" s="49"/>
      <c r="K63" s="54"/>
    </row>
    <row r="64" spans="2:14" s="23" customFormat="1" x14ac:dyDescent="0.25">
      <c r="B64" s="61">
        <v>45810</v>
      </c>
      <c r="C64" s="62" t="s">
        <v>24</v>
      </c>
      <c r="D64" s="120" t="s">
        <v>184</v>
      </c>
      <c r="E64" s="64">
        <f t="shared" si="8"/>
        <v>45840</v>
      </c>
      <c r="F64" s="65">
        <v>1898417.9609999999</v>
      </c>
      <c r="G64" s="79" t="s">
        <v>82</v>
      </c>
      <c r="H64" s="68" t="s">
        <v>35</v>
      </c>
      <c r="I64" s="86" t="s">
        <v>45</v>
      </c>
      <c r="J64" s="49"/>
      <c r="K64" s="54"/>
    </row>
    <row r="65" spans="2:11" s="23" customFormat="1" x14ac:dyDescent="0.25">
      <c r="B65" s="61">
        <v>45818</v>
      </c>
      <c r="C65" s="62" t="s">
        <v>24</v>
      </c>
      <c r="D65" s="120" t="s">
        <v>210</v>
      </c>
      <c r="E65" s="64">
        <f>+B65+30</f>
        <v>45848</v>
      </c>
      <c r="F65" s="65">
        <v>18149999.52</v>
      </c>
      <c r="G65" s="79" t="s">
        <v>211</v>
      </c>
      <c r="H65" s="68" t="s">
        <v>35</v>
      </c>
      <c r="I65" s="86" t="s">
        <v>45</v>
      </c>
      <c r="J65" s="49"/>
      <c r="K65" s="54"/>
    </row>
    <row r="66" spans="2:11" s="23" customFormat="1" x14ac:dyDescent="0.25">
      <c r="B66" s="61">
        <v>45838</v>
      </c>
      <c r="C66" s="62" t="s">
        <v>24</v>
      </c>
      <c r="D66" s="120" t="s">
        <v>217</v>
      </c>
      <c r="E66" s="64">
        <v>45868</v>
      </c>
      <c r="F66" s="65">
        <v>27940270.68</v>
      </c>
      <c r="G66" s="79" t="s">
        <v>81</v>
      </c>
      <c r="H66" s="68" t="s">
        <v>35</v>
      </c>
      <c r="I66" s="86"/>
      <c r="J66" s="49"/>
      <c r="K66" s="54"/>
    </row>
    <row r="67" spans="2:11" s="23" customFormat="1" x14ac:dyDescent="0.25">
      <c r="B67" s="61">
        <v>45838</v>
      </c>
      <c r="C67" s="62" t="s">
        <v>24</v>
      </c>
      <c r="D67" s="87" t="s">
        <v>218</v>
      </c>
      <c r="E67" s="64">
        <v>45868</v>
      </c>
      <c r="F67" s="65">
        <v>1926915.22</v>
      </c>
      <c r="G67" s="79" t="s">
        <v>82</v>
      </c>
      <c r="H67" s="68" t="s">
        <v>35</v>
      </c>
      <c r="I67" s="86"/>
      <c r="J67" s="49"/>
      <c r="K67" s="54"/>
    </row>
    <row r="68" spans="2:11" s="23" customFormat="1" x14ac:dyDescent="0.25">
      <c r="B68" s="61">
        <v>45839</v>
      </c>
      <c r="C68" s="62" t="s">
        <v>24</v>
      </c>
      <c r="D68" s="63" t="s">
        <v>219</v>
      </c>
      <c r="E68" s="64">
        <v>45868</v>
      </c>
      <c r="F68" s="65">
        <v>2408644.0299999998</v>
      </c>
      <c r="G68" s="79" t="s">
        <v>220</v>
      </c>
      <c r="H68" s="68" t="s">
        <v>35</v>
      </c>
      <c r="I68" s="86"/>
      <c r="J68" s="49"/>
      <c r="K68" s="54"/>
    </row>
    <row r="69" spans="2:11" s="23" customFormat="1" x14ac:dyDescent="0.25">
      <c r="B69" s="61">
        <v>45870</v>
      </c>
      <c r="C69" s="62" t="s">
        <v>24</v>
      </c>
      <c r="D69" s="63" t="s">
        <v>255</v>
      </c>
      <c r="E69" s="64">
        <f>+B69+30</f>
        <v>45900</v>
      </c>
      <c r="F69" s="65">
        <v>45640000.009999998</v>
      </c>
      <c r="G69" s="79" t="s">
        <v>81</v>
      </c>
      <c r="H69" s="68" t="s">
        <v>35</v>
      </c>
      <c r="I69" s="86"/>
      <c r="J69" s="49"/>
      <c r="K69" s="54"/>
    </row>
    <row r="70" spans="2:11" s="23" customFormat="1" x14ac:dyDescent="0.25">
      <c r="B70" s="61">
        <v>45870</v>
      </c>
      <c r="C70" s="62" t="s">
        <v>24</v>
      </c>
      <c r="D70" s="63" t="s">
        <v>257</v>
      </c>
      <c r="E70" s="64">
        <f t="shared" ref="E70:E73" si="9">+B70+30</f>
        <v>45900</v>
      </c>
      <c r="F70" s="65">
        <v>8120000</v>
      </c>
      <c r="G70" s="79" t="s">
        <v>256</v>
      </c>
      <c r="H70" s="68" t="s">
        <v>35</v>
      </c>
      <c r="I70" s="86"/>
      <c r="J70" s="49"/>
      <c r="K70" s="54"/>
    </row>
    <row r="71" spans="2:11" s="23" customFormat="1" x14ac:dyDescent="0.25">
      <c r="B71" s="61">
        <v>45870</v>
      </c>
      <c r="C71" s="62" t="s">
        <v>24</v>
      </c>
      <c r="D71" s="63" t="s">
        <v>258</v>
      </c>
      <c r="E71" s="64">
        <f t="shared" si="9"/>
        <v>45900</v>
      </c>
      <c r="F71" s="65">
        <v>105000</v>
      </c>
      <c r="G71" s="79" t="s">
        <v>82</v>
      </c>
      <c r="H71" s="68" t="s">
        <v>35</v>
      </c>
      <c r="I71" s="86"/>
      <c r="J71" s="49"/>
      <c r="K71" s="54"/>
    </row>
    <row r="72" spans="2:11" s="23" customFormat="1" x14ac:dyDescent="0.25">
      <c r="B72" s="61">
        <v>45870</v>
      </c>
      <c r="C72" s="62" t="s">
        <v>24</v>
      </c>
      <c r="D72" s="63" t="s">
        <v>259</v>
      </c>
      <c r="E72" s="64">
        <f t="shared" si="9"/>
        <v>45900</v>
      </c>
      <c r="F72" s="65">
        <v>3150000.01</v>
      </c>
      <c r="G72" s="79" t="s">
        <v>220</v>
      </c>
      <c r="H72" s="68" t="s">
        <v>35</v>
      </c>
      <c r="I72" s="86"/>
      <c r="J72" s="49"/>
      <c r="K72" s="54"/>
    </row>
    <row r="73" spans="2:11" s="23" customFormat="1" x14ac:dyDescent="0.25">
      <c r="B73" s="61">
        <v>45901</v>
      </c>
      <c r="C73" s="62" t="s">
        <v>24</v>
      </c>
      <c r="D73" s="63" t="s">
        <v>270</v>
      </c>
      <c r="E73" s="64">
        <f t="shared" si="9"/>
        <v>45931</v>
      </c>
      <c r="F73" s="65">
        <v>172618.6</v>
      </c>
      <c r="G73" s="79" t="s">
        <v>220</v>
      </c>
      <c r="H73" s="68" t="s">
        <v>35</v>
      </c>
      <c r="I73" s="86"/>
      <c r="J73" s="49"/>
      <c r="K73" s="54"/>
    </row>
    <row r="74" spans="2:11" s="23" customFormat="1" x14ac:dyDescent="0.25">
      <c r="B74" s="61">
        <v>45901</v>
      </c>
      <c r="C74" s="62" t="s">
        <v>24</v>
      </c>
      <c r="D74" s="63" t="s">
        <v>271</v>
      </c>
      <c r="E74" s="64">
        <f>+B74+30</f>
        <v>45931</v>
      </c>
      <c r="F74" s="65">
        <v>258927.9</v>
      </c>
      <c r="G74" s="79" t="s">
        <v>82</v>
      </c>
      <c r="H74" s="68" t="s">
        <v>35</v>
      </c>
      <c r="I74" s="86"/>
      <c r="J74" s="49"/>
      <c r="K74" s="54"/>
    </row>
    <row r="75" spans="2:11" s="23" customFormat="1" x14ac:dyDescent="0.25">
      <c r="B75" s="61">
        <v>45901</v>
      </c>
      <c r="C75" s="62" t="s">
        <v>24</v>
      </c>
      <c r="D75" s="63" t="s">
        <v>272</v>
      </c>
      <c r="E75" s="64">
        <f t="shared" ref="E75:E96" si="10">+B75+30</f>
        <v>45931</v>
      </c>
      <c r="F75" s="65">
        <v>47534847.579999998</v>
      </c>
      <c r="G75" s="79" t="s">
        <v>81</v>
      </c>
      <c r="H75" s="68" t="s">
        <v>35</v>
      </c>
      <c r="I75" s="86"/>
      <c r="J75" s="49"/>
      <c r="K75" s="54"/>
    </row>
    <row r="76" spans="2:11" s="23" customFormat="1" x14ac:dyDescent="0.25">
      <c r="B76" s="61">
        <v>45901</v>
      </c>
      <c r="C76" s="62" t="s">
        <v>24</v>
      </c>
      <c r="D76" s="63" t="s">
        <v>274</v>
      </c>
      <c r="E76" s="64">
        <f t="shared" si="10"/>
        <v>45931</v>
      </c>
      <c r="F76" s="65">
        <v>26799037.649999999</v>
      </c>
      <c r="G76" s="79" t="s">
        <v>281</v>
      </c>
      <c r="H76" s="68" t="s">
        <v>35</v>
      </c>
      <c r="I76" s="86"/>
      <c r="J76" s="49"/>
      <c r="K76" s="54"/>
    </row>
    <row r="77" spans="2:11" s="23" customFormat="1" x14ac:dyDescent="0.25">
      <c r="B77" s="61">
        <v>45901</v>
      </c>
      <c r="C77" s="62" t="s">
        <v>24</v>
      </c>
      <c r="D77" s="63" t="s">
        <v>273</v>
      </c>
      <c r="E77" s="64">
        <f t="shared" si="10"/>
        <v>45931</v>
      </c>
      <c r="F77" s="65">
        <v>6430042.8499999996</v>
      </c>
      <c r="G77" s="79" t="s">
        <v>256</v>
      </c>
      <c r="H77" s="68" t="s">
        <v>35</v>
      </c>
      <c r="I77" s="86"/>
      <c r="J77" s="49"/>
      <c r="K77" s="54"/>
    </row>
    <row r="78" spans="2:11" s="23" customFormat="1" x14ac:dyDescent="0.25">
      <c r="B78" s="61">
        <v>45931</v>
      </c>
      <c r="C78" s="62" t="s">
        <v>24</v>
      </c>
      <c r="D78" s="63" t="s">
        <v>280</v>
      </c>
      <c r="E78" s="64">
        <f t="shared" si="10"/>
        <v>45961</v>
      </c>
      <c r="F78" s="65">
        <v>7959400.5700000003</v>
      </c>
      <c r="G78" s="79" t="s">
        <v>220</v>
      </c>
      <c r="H78" s="68" t="s">
        <v>35</v>
      </c>
      <c r="I78" s="86"/>
      <c r="J78" s="49"/>
      <c r="K78" s="54"/>
    </row>
    <row r="79" spans="2:11" s="23" customFormat="1" x14ac:dyDescent="0.25">
      <c r="B79" s="61">
        <v>45931</v>
      </c>
      <c r="C79" s="62" t="s">
        <v>24</v>
      </c>
      <c r="D79" s="63" t="s">
        <v>282</v>
      </c>
      <c r="E79" s="64">
        <f t="shared" si="10"/>
        <v>45961</v>
      </c>
      <c r="F79" s="65">
        <v>2242704.0099999998</v>
      </c>
      <c r="G79" s="79" t="s">
        <v>281</v>
      </c>
      <c r="H79" s="68" t="s">
        <v>35</v>
      </c>
      <c r="I79" s="86"/>
      <c r="J79" s="49"/>
      <c r="K79" s="54"/>
    </row>
    <row r="80" spans="2:11" s="23" customFormat="1" x14ac:dyDescent="0.25">
      <c r="B80" s="61">
        <v>45931</v>
      </c>
      <c r="C80" s="62" t="s">
        <v>24</v>
      </c>
      <c r="D80" s="63" t="s">
        <v>283</v>
      </c>
      <c r="E80" s="64">
        <f t="shared" si="10"/>
        <v>45961</v>
      </c>
      <c r="F80" s="65">
        <v>17018165.699999999</v>
      </c>
      <c r="G80" s="79" t="s">
        <v>256</v>
      </c>
      <c r="H80" s="68" t="s">
        <v>35</v>
      </c>
      <c r="I80" s="86"/>
      <c r="J80" s="49"/>
      <c r="K80" s="54"/>
    </row>
    <row r="81" spans="2:11" s="23" customFormat="1" x14ac:dyDescent="0.25">
      <c r="B81" s="61">
        <v>45931</v>
      </c>
      <c r="C81" s="62" t="s">
        <v>24</v>
      </c>
      <c r="D81" s="63" t="s">
        <v>284</v>
      </c>
      <c r="E81" s="64">
        <f t="shared" si="10"/>
        <v>45961</v>
      </c>
      <c r="F81" s="65">
        <v>39203345.509999998</v>
      </c>
      <c r="G81" s="79" t="s">
        <v>81</v>
      </c>
      <c r="H81" s="68" t="s">
        <v>35</v>
      </c>
      <c r="I81" s="86"/>
      <c r="J81" s="49"/>
      <c r="K81" s="54"/>
    </row>
    <row r="82" spans="2:11" s="23" customFormat="1" x14ac:dyDescent="0.25">
      <c r="B82" s="61">
        <v>45931</v>
      </c>
      <c r="C82" s="62" t="s">
        <v>24</v>
      </c>
      <c r="D82" s="63" t="s">
        <v>285</v>
      </c>
      <c r="E82" s="64">
        <f t="shared" si="10"/>
        <v>45961</v>
      </c>
      <c r="F82" s="65">
        <v>5628746.9699999997</v>
      </c>
      <c r="G82" s="79" t="s">
        <v>82</v>
      </c>
      <c r="H82" s="68" t="s">
        <v>35</v>
      </c>
      <c r="I82" s="86"/>
      <c r="J82" s="49"/>
      <c r="K82" s="54"/>
    </row>
    <row r="83" spans="2:11" s="23" customFormat="1" x14ac:dyDescent="0.25">
      <c r="B83" s="143">
        <v>45964</v>
      </c>
      <c r="C83" s="148" t="s">
        <v>24</v>
      </c>
      <c r="D83" s="149" t="s">
        <v>301</v>
      </c>
      <c r="E83" s="146">
        <f t="shared" si="10"/>
        <v>45994</v>
      </c>
      <c r="F83" s="65">
        <v>2648985.23</v>
      </c>
      <c r="G83" s="150" t="s">
        <v>82</v>
      </c>
      <c r="H83" s="151" t="s">
        <v>35</v>
      </c>
      <c r="I83" s="86"/>
      <c r="J83" s="49"/>
      <c r="K83" s="54"/>
    </row>
    <row r="84" spans="2:11" s="23" customFormat="1" x14ac:dyDescent="0.25">
      <c r="B84" s="143">
        <v>45964</v>
      </c>
      <c r="C84" s="148" t="s">
        <v>24</v>
      </c>
      <c r="D84" s="149" t="s">
        <v>302</v>
      </c>
      <c r="E84" s="146">
        <f t="shared" si="10"/>
        <v>45994</v>
      </c>
      <c r="F84" s="65">
        <v>75676120.189999998</v>
      </c>
      <c r="G84" s="150" t="s">
        <v>81</v>
      </c>
      <c r="H84" s="151" t="s">
        <v>35</v>
      </c>
      <c r="I84" s="86"/>
      <c r="J84" s="49"/>
      <c r="K84" s="54"/>
    </row>
    <row r="85" spans="2:11" s="23" customFormat="1" x14ac:dyDescent="0.25">
      <c r="B85" s="143">
        <v>45964</v>
      </c>
      <c r="C85" s="148" t="s">
        <v>24</v>
      </c>
      <c r="D85" s="149" t="s">
        <v>303</v>
      </c>
      <c r="E85" s="146">
        <f t="shared" si="10"/>
        <v>45994</v>
      </c>
      <c r="F85" s="65">
        <v>3771436.6</v>
      </c>
      <c r="G85" s="150" t="s">
        <v>281</v>
      </c>
      <c r="H85" s="151" t="s">
        <v>35</v>
      </c>
      <c r="I85" s="86"/>
      <c r="J85" s="49"/>
      <c r="K85" s="54"/>
    </row>
    <row r="86" spans="2:11" s="23" customFormat="1" x14ac:dyDescent="0.25">
      <c r="B86" s="143">
        <v>45964</v>
      </c>
      <c r="C86" s="148" t="s">
        <v>24</v>
      </c>
      <c r="D86" s="149" t="s">
        <v>304</v>
      </c>
      <c r="E86" s="146">
        <f t="shared" si="10"/>
        <v>45994</v>
      </c>
      <c r="F86" s="65">
        <v>2289800.79</v>
      </c>
      <c r="G86" s="150" t="s">
        <v>256</v>
      </c>
      <c r="H86" s="151" t="s">
        <v>35</v>
      </c>
      <c r="I86" s="86"/>
      <c r="J86" s="49"/>
      <c r="K86" s="54"/>
    </row>
    <row r="87" spans="2:11" s="23" customFormat="1" x14ac:dyDescent="0.25">
      <c r="B87" s="143">
        <v>45964</v>
      </c>
      <c r="C87" s="148" t="s">
        <v>24</v>
      </c>
      <c r="D87" s="149" t="s">
        <v>305</v>
      </c>
      <c r="E87" s="146">
        <f>+B87+30</f>
        <v>45994</v>
      </c>
      <c r="F87" s="65">
        <v>1257145.53</v>
      </c>
      <c r="G87" s="150" t="s">
        <v>220</v>
      </c>
      <c r="H87" s="151" t="s">
        <v>35</v>
      </c>
      <c r="I87" s="86"/>
      <c r="J87" s="49"/>
      <c r="K87" s="54"/>
    </row>
    <row r="88" spans="2:11" s="23" customFormat="1" x14ac:dyDescent="0.25">
      <c r="B88" s="143">
        <v>45992</v>
      </c>
      <c r="C88" s="148" t="s">
        <v>24</v>
      </c>
      <c r="D88" s="149" t="s">
        <v>312</v>
      </c>
      <c r="E88" s="146">
        <f t="shared" si="10"/>
        <v>46022</v>
      </c>
      <c r="F88" s="65">
        <v>390411.04</v>
      </c>
      <c r="G88" s="150" t="s">
        <v>220</v>
      </c>
      <c r="H88" s="151" t="s">
        <v>35</v>
      </c>
      <c r="I88" s="86"/>
      <c r="J88" s="49"/>
      <c r="K88" s="54"/>
    </row>
    <row r="89" spans="2:11" s="23" customFormat="1" x14ac:dyDescent="0.25">
      <c r="B89" s="143">
        <v>45992</v>
      </c>
      <c r="C89" s="148" t="s">
        <v>24</v>
      </c>
      <c r="D89" s="149" t="s">
        <v>313</v>
      </c>
      <c r="E89" s="146">
        <f t="shared" si="10"/>
        <v>46022</v>
      </c>
      <c r="F89" s="65">
        <v>65734654.18</v>
      </c>
      <c r="G89" s="150" t="s">
        <v>81</v>
      </c>
      <c r="H89" s="151" t="s">
        <v>35</v>
      </c>
      <c r="I89" s="86"/>
      <c r="J89" s="49"/>
      <c r="K89" s="54"/>
    </row>
    <row r="90" spans="2:11" s="23" customFormat="1" x14ac:dyDescent="0.25">
      <c r="B90" s="143">
        <v>45992</v>
      </c>
      <c r="C90" s="148" t="s">
        <v>24</v>
      </c>
      <c r="D90" s="149" t="s">
        <v>314</v>
      </c>
      <c r="E90" s="146">
        <f t="shared" si="10"/>
        <v>46022</v>
      </c>
      <c r="F90" s="65">
        <v>4225625.32</v>
      </c>
      <c r="G90" s="150" t="s">
        <v>256</v>
      </c>
      <c r="H90" s="151" t="s">
        <v>35</v>
      </c>
      <c r="I90" s="86"/>
      <c r="J90" s="49"/>
      <c r="K90" s="54"/>
    </row>
    <row r="91" spans="2:11" s="23" customFormat="1" x14ac:dyDescent="0.25">
      <c r="B91" s="143">
        <v>45992</v>
      </c>
      <c r="C91" s="148" t="s">
        <v>24</v>
      </c>
      <c r="D91" s="149" t="s">
        <v>315</v>
      </c>
      <c r="E91" s="146">
        <f t="shared" si="10"/>
        <v>46022</v>
      </c>
      <c r="F91" s="65">
        <v>505237.81</v>
      </c>
      <c r="G91" s="150" t="s">
        <v>281</v>
      </c>
      <c r="H91" s="151" t="s">
        <v>35</v>
      </c>
      <c r="I91" s="86"/>
      <c r="J91" s="49"/>
      <c r="K91" s="54"/>
    </row>
    <row r="92" spans="2:11" s="23" customFormat="1" x14ac:dyDescent="0.25">
      <c r="B92" s="143">
        <v>45992</v>
      </c>
      <c r="C92" s="148" t="s">
        <v>24</v>
      </c>
      <c r="D92" s="149" t="s">
        <v>316</v>
      </c>
      <c r="E92" s="146">
        <f t="shared" si="10"/>
        <v>46022</v>
      </c>
      <c r="F92" s="65">
        <v>643029.93999999994</v>
      </c>
      <c r="G92" s="150" t="s">
        <v>82</v>
      </c>
      <c r="H92" s="151" t="s">
        <v>35</v>
      </c>
      <c r="I92" s="86"/>
      <c r="J92" s="49"/>
      <c r="K92" s="54"/>
    </row>
    <row r="93" spans="2:11" s="23" customFormat="1" x14ac:dyDescent="0.25">
      <c r="B93" s="73">
        <v>46013</v>
      </c>
      <c r="C93" s="74" t="s">
        <v>24</v>
      </c>
      <c r="D93" s="90" t="s">
        <v>321</v>
      </c>
      <c r="E93" s="75">
        <f t="shared" si="10"/>
        <v>46043</v>
      </c>
      <c r="F93" s="76">
        <v>21436431.329999998</v>
      </c>
      <c r="G93" s="91" t="s">
        <v>322</v>
      </c>
      <c r="H93" s="92"/>
      <c r="I93" s="93"/>
      <c r="J93" s="49"/>
      <c r="K93" s="54"/>
    </row>
    <row r="94" spans="2:11" s="152" customFormat="1" x14ac:dyDescent="0.25">
      <c r="B94" s="143">
        <v>46024</v>
      </c>
      <c r="C94" s="148" t="s">
        <v>24</v>
      </c>
      <c r="D94" s="149" t="s">
        <v>326</v>
      </c>
      <c r="E94" s="146">
        <f t="shared" si="10"/>
        <v>46054</v>
      </c>
      <c r="F94" s="65">
        <v>517868.76</v>
      </c>
      <c r="G94" s="150" t="s">
        <v>82</v>
      </c>
      <c r="H94" s="151"/>
      <c r="I94" s="86"/>
      <c r="J94" s="49"/>
      <c r="K94" s="54"/>
    </row>
    <row r="95" spans="2:11" s="152" customFormat="1" x14ac:dyDescent="0.25">
      <c r="B95" s="143">
        <v>46024</v>
      </c>
      <c r="C95" s="148" t="s">
        <v>24</v>
      </c>
      <c r="D95" s="149" t="s">
        <v>327</v>
      </c>
      <c r="E95" s="146">
        <f t="shared" si="10"/>
        <v>46054</v>
      </c>
      <c r="F95" s="65">
        <v>38534614.049999997</v>
      </c>
      <c r="G95" s="150" t="s">
        <v>81</v>
      </c>
      <c r="H95" s="151"/>
      <c r="I95" s="86"/>
      <c r="J95" s="49"/>
      <c r="K95" s="54"/>
    </row>
    <row r="96" spans="2:11" s="152" customFormat="1" x14ac:dyDescent="0.25">
      <c r="B96" s="143">
        <v>46024</v>
      </c>
      <c r="C96" s="148" t="s">
        <v>24</v>
      </c>
      <c r="D96" s="149" t="s">
        <v>328</v>
      </c>
      <c r="E96" s="146">
        <f t="shared" si="10"/>
        <v>46054</v>
      </c>
      <c r="F96" s="65">
        <v>23539488.850000001</v>
      </c>
      <c r="G96" s="150" t="s">
        <v>329</v>
      </c>
      <c r="H96" s="151"/>
      <c r="I96" s="86"/>
      <c r="J96" s="49"/>
      <c r="K96" s="54"/>
    </row>
    <row r="97" spans="2:12" s="152" customFormat="1" x14ac:dyDescent="0.25">
      <c r="B97" s="167"/>
      <c r="C97" s="168"/>
      <c r="D97" s="169"/>
      <c r="E97" s="170"/>
      <c r="F97" s="13"/>
      <c r="G97" s="171"/>
      <c r="H97" s="172"/>
      <c r="I97" s="125"/>
      <c r="J97" s="49"/>
      <c r="K97" s="54"/>
    </row>
    <row r="98" spans="2:12" s="23" customFormat="1" x14ac:dyDescent="0.25">
      <c r="B98" s="155"/>
      <c r="C98" s="156"/>
      <c r="D98" s="157"/>
      <c r="E98" s="158"/>
      <c r="F98" s="13"/>
      <c r="G98" s="159"/>
      <c r="H98" s="160"/>
      <c r="I98" s="125"/>
      <c r="J98" s="49"/>
      <c r="K98" s="54"/>
    </row>
    <row r="99" spans="2:12" x14ac:dyDescent="0.25">
      <c r="C99" s="30"/>
      <c r="D99" s="43"/>
      <c r="E99" s="44"/>
      <c r="F99" s="45"/>
      <c r="G99" s="16"/>
      <c r="H99" s="88"/>
      <c r="I99" s="56"/>
      <c r="K99"/>
      <c r="L99" s="26"/>
    </row>
    <row r="100" spans="2:12" x14ac:dyDescent="0.25">
      <c r="B100" s="174" t="s">
        <v>7</v>
      </c>
      <c r="C100" s="175"/>
      <c r="D100" s="175"/>
      <c r="E100" s="176"/>
      <c r="F100" s="18">
        <v>0</v>
      </c>
      <c r="H100" s="89"/>
      <c r="I100" s="60"/>
      <c r="J100" s="59"/>
      <c r="K100"/>
    </row>
    <row r="101" spans="2:12" x14ac:dyDescent="0.25">
      <c r="B101" s="174" t="s">
        <v>8</v>
      </c>
      <c r="C101" s="175"/>
      <c r="D101" s="175"/>
      <c r="E101" s="176" t="s">
        <v>9</v>
      </c>
      <c r="F101" s="18">
        <f>+F65+F66+F67+F68+F69+F70+F72+F73+F74+F75+F76+F77+F71+F78+F79+F80+F81+F82+F84+F85+F86+F87+F83+F88+F89+F90+F91+F92</f>
        <v>417831113.44000006</v>
      </c>
      <c r="G101" s="139"/>
      <c r="H101" s="44"/>
      <c r="I101" s="52"/>
      <c r="K101"/>
    </row>
    <row r="102" spans="2:12" x14ac:dyDescent="0.25">
      <c r="B102" s="174" t="s">
        <v>10</v>
      </c>
      <c r="C102" s="175"/>
      <c r="D102" s="175"/>
      <c r="E102" s="176" t="s">
        <v>11</v>
      </c>
      <c r="F102" s="18">
        <f>+F100-F101</f>
        <v>-417831113.44000006</v>
      </c>
      <c r="G102" s="46"/>
      <c r="H102" s="44"/>
      <c r="I102" s="52"/>
      <c r="K102"/>
    </row>
    <row r="103" spans="2:12" x14ac:dyDescent="0.25">
      <c r="F103" s="47"/>
      <c r="H103" s="140"/>
    </row>
    <row r="104" spans="2:12" x14ac:dyDescent="0.25">
      <c r="B104" s="177" t="s">
        <v>12</v>
      </c>
      <c r="C104" s="178"/>
      <c r="D104" s="178"/>
      <c r="E104" s="179"/>
      <c r="F104" s="48">
        <f>+F93</f>
        <v>21436431.329999998</v>
      </c>
      <c r="H104" s="82"/>
    </row>
    <row r="105" spans="2:12" x14ac:dyDescent="0.25">
      <c r="G105" s="26"/>
      <c r="H105" s="82"/>
    </row>
    <row r="106" spans="2:12" x14ac:dyDescent="0.25">
      <c r="H106" s="82"/>
    </row>
    <row r="107" spans="2:12" x14ac:dyDescent="0.25">
      <c r="I107" s="37"/>
      <c r="J107" s="37"/>
      <c r="K107" s="57"/>
    </row>
  </sheetData>
  <mergeCells count="4">
    <mergeCell ref="B100:E100"/>
    <mergeCell ref="B101:E101"/>
    <mergeCell ref="B102:E102"/>
    <mergeCell ref="B104:E104"/>
  </mergeCells>
  <phoneticPr fontId="16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"/>
  <sheetViews>
    <sheetView showGridLines="0" topLeftCell="A2" workbookViewId="0">
      <selection activeCell="G17" sqref="G17"/>
    </sheetView>
  </sheetViews>
  <sheetFormatPr baseColWidth="10" defaultRowHeight="15" x14ac:dyDescent="0.25"/>
  <cols>
    <col min="1" max="1" width="5" bestFit="1" customWidth="1"/>
    <col min="2" max="2" width="12.140625" style="1" bestFit="1" customWidth="1"/>
    <col min="3" max="3" width="11.140625" bestFit="1" customWidth="1"/>
    <col min="4" max="4" width="11.28515625" bestFit="1" customWidth="1"/>
    <col min="5" max="5" width="11.42578125" style="1"/>
    <col min="6" max="6" width="14.28515625" bestFit="1" customWidth="1"/>
    <col min="7" max="7" width="36.140625" customWidth="1"/>
    <col min="8" max="8" width="13.42578125" style="1" bestFit="1" customWidth="1"/>
    <col min="9" max="9" width="15.140625" style="3" bestFit="1" customWidth="1"/>
  </cols>
  <sheetData>
    <row r="1" spans="2:11" ht="15.75" x14ac:dyDescent="0.25">
      <c r="B1" s="2" t="s">
        <v>28</v>
      </c>
    </row>
    <row r="2" spans="2:11" x14ac:dyDescent="0.25">
      <c r="B2" s="4"/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</row>
    <row r="4" spans="2:11" x14ac:dyDescent="0.25">
      <c r="B4" s="68">
        <v>45239</v>
      </c>
      <c r="C4" s="9" t="s">
        <v>24</v>
      </c>
      <c r="D4" s="69">
        <v>200001291</v>
      </c>
      <c r="E4" s="68">
        <f>+B4+10</f>
        <v>45249</v>
      </c>
      <c r="F4" s="65">
        <v>1590109.4</v>
      </c>
      <c r="G4" s="70"/>
      <c r="H4" s="68" t="s">
        <v>35</v>
      </c>
      <c r="I4" s="86" t="s">
        <v>45</v>
      </c>
    </row>
    <row r="5" spans="2:11" x14ac:dyDescent="0.25">
      <c r="B5" s="68">
        <v>45287</v>
      </c>
      <c r="C5" s="9" t="s">
        <v>24</v>
      </c>
      <c r="D5" s="69">
        <v>200001294</v>
      </c>
      <c r="E5" s="68">
        <f>+B5+10</f>
        <v>45297</v>
      </c>
      <c r="F5" s="65">
        <v>1913267.73</v>
      </c>
      <c r="G5" s="70" t="s">
        <v>15</v>
      </c>
      <c r="H5" s="68" t="s">
        <v>35</v>
      </c>
      <c r="I5" s="86" t="s">
        <v>45</v>
      </c>
    </row>
    <row r="6" spans="2:11" x14ac:dyDescent="0.25">
      <c r="B6" s="68">
        <v>45296</v>
      </c>
      <c r="C6" s="9" t="s">
        <v>24</v>
      </c>
      <c r="D6" s="69">
        <v>200001299</v>
      </c>
      <c r="E6" s="68">
        <f>+B6+10</f>
        <v>45306</v>
      </c>
      <c r="F6" s="65">
        <v>6578807.5099999998</v>
      </c>
      <c r="G6" s="70" t="s">
        <v>16</v>
      </c>
      <c r="H6" s="68" t="s">
        <v>35</v>
      </c>
      <c r="I6" s="86" t="s">
        <v>45</v>
      </c>
    </row>
    <row r="7" spans="2:11" s="23" customFormat="1" x14ac:dyDescent="0.25">
      <c r="B7" s="61">
        <v>45356</v>
      </c>
      <c r="C7" s="62" t="s">
        <v>24</v>
      </c>
      <c r="D7" s="63">
        <v>200001302</v>
      </c>
      <c r="E7" s="64">
        <f t="shared" ref="E7:E13" si="0">+B7+30</f>
        <v>45386</v>
      </c>
      <c r="F7" s="65">
        <v>1047788.61</v>
      </c>
      <c r="G7" s="79" t="s">
        <v>42</v>
      </c>
      <c r="H7" s="68" t="s">
        <v>35</v>
      </c>
      <c r="I7" s="86" t="s">
        <v>45</v>
      </c>
      <c r="J7" s="49"/>
      <c r="K7" s="54"/>
    </row>
    <row r="8" spans="2:11" s="23" customFormat="1" x14ac:dyDescent="0.25">
      <c r="B8" s="61">
        <v>45376</v>
      </c>
      <c r="C8" s="62" t="s">
        <v>24</v>
      </c>
      <c r="D8" s="63">
        <v>200001309</v>
      </c>
      <c r="E8" s="64">
        <f t="shared" si="0"/>
        <v>45406</v>
      </c>
      <c r="F8" s="65">
        <v>1951725.58</v>
      </c>
      <c r="G8" s="79" t="s">
        <v>52</v>
      </c>
      <c r="H8" s="68" t="s">
        <v>45</v>
      </c>
      <c r="I8" s="86" t="s">
        <v>45</v>
      </c>
      <c r="J8" s="49"/>
      <c r="K8" s="54"/>
    </row>
    <row r="9" spans="2:11" s="23" customFormat="1" x14ac:dyDescent="0.25">
      <c r="B9" s="61">
        <v>45376</v>
      </c>
      <c r="C9" s="62" t="s">
        <v>24</v>
      </c>
      <c r="D9" s="63">
        <v>200001310</v>
      </c>
      <c r="E9" s="64">
        <f t="shared" si="0"/>
        <v>45406</v>
      </c>
      <c r="F9" s="65">
        <v>723775.97</v>
      </c>
      <c r="G9" s="79" t="s">
        <v>51</v>
      </c>
      <c r="H9" s="68" t="s">
        <v>45</v>
      </c>
      <c r="I9" s="86" t="s">
        <v>45</v>
      </c>
      <c r="J9" s="49"/>
      <c r="K9" s="54"/>
    </row>
    <row r="10" spans="2:11" s="23" customFormat="1" x14ac:dyDescent="0.25">
      <c r="B10" s="61">
        <v>45377</v>
      </c>
      <c r="C10" s="62" t="s">
        <v>46</v>
      </c>
      <c r="D10" s="63">
        <v>200000093</v>
      </c>
      <c r="E10" s="64">
        <f t="shared" si="0"/>
        <v>45407</v>
      </c>
      <c r="F10" s="65">
        <v>-1951725.58</v>
      </c>
      <c r="G10" s="79" t="s">
        <v>62</v>
      </c>
      <c r="H10" s="68" t="s">
        <v>45</v>
      </c>
      <c r="I10" s="86" t="s">
        <v>45</v>
      </c>
      <c r="J10" s="49"/>
      <c r="K10" s="54"/>
    </row>
    <row r="11" spans="2:11" s="23" customFormat="1" x14ac:dyDescent="0.25">
      <c r="B11" s="61">
        <v>45377</v>
      </c>
      <c r="C11" s="62" t="s">
        <v>46</v>
      </c>
      <c r="D11" s="63">
        <v>200000094</v>
      </c>
      <c r="E11" s="64">
        <f t="shared" si="0"/>
        <v>45407</v>
      </c>
      <c r="F11" s="65">
        <v>-723775.97</v>
      </c>
      <c r="G11" s="79" t="s">
        <v>63</v>
      </c>
      <c r="H11" s="68" t="s">
        <v>45</v>
      </c>
      <c r="I11" s="86" t="s">
        <v>45</v>
      </c>
      <c r="J11" s="49"/>
      <c r="K11" s="54"/>
    </row>
    <row r="12" spans="2:11" s="23" customFormat="1" x14ac:dyDescent="0.25">
      <c r="B12" s="61">
        <v>45407</v>
      </c>
      <c r="C12" s="62" t="s">
        <v>24</v>
      </c>
      <c r="D12" s="63">
        <v>200001315</v>
      </c>
      <c r="E12" s="64">
        <f t="shared" si="0"/>
        <v>45437</v>
      </c>
      <c r="F12" s="65">
        <v>1951725.58</v>
      </c>
      <c r="G12" s="79" t="s">
        <v>52</v>
      </c>
      <c r="H12" s="68" t="s">
        <v>35</v>
      </c>
      <c r="I12" s="86" t="s">
        <v>45</v>
      </c>
      <c r="J12" s="49"/>
      <c r="K12" s="54"/>
    </row>
    <row r="13" spans="2:11" s="23" customFormat="1" x14ac:dyDescent="0.25">
      <c r="B13" s="61">
        <v>45407</v>
      </c>
      <c r="C13" s="62" t="s">
        <v>24</v>
      </c>
      <c r="D13" s="63">
        <v>200001316</v>
      </c>
      <c r="E13" s="64">
        <f t="shared" si="0"/>
        <v>45437</v>
      </c>
      <c r="F13" s="65">
        <v>723775.97</v>
      </c>
      <c r="G13" s="79" t="s">
        <v>51</v>
      </c>
      <c r="H13" s="68" t="s">
        <v>35</v>
      </c>
      <c r="I13" s="86" t="s">
        <v>45</v>
      </c>
      <c r="J13" s="49"/>
      <c r="K13" s="54"/>
    </row>
    <row r="14" spans="2:11" x14ac:dyDescent="0.25">
      <c r="C14" s="10"/>
      <c r="D14" s="11"/>
      <c r="F14" s="13"/>
      <c r="G14" s="14"/>
      <c r="I14" s="12"/>
    </row>
    <row r="15" spans="2:11" x14ac:dyDescent="0.25">
      <c r="C15" s="10"/>
      <c r="D15" s="10"/>
      <c r="F15" s="15"/>
      <c r="G15" s="16"/>
      <c r="I15" s="17"/>
    </row>
    <row r="16" spans="2:11" x14ac:dyDescent="0.25">
      <c r="B16" s="174" t="s">
        <v>7</v>
      </c>
      <c r="C16" s="175"/>
      <c r="D16" s="175"/>
      <c r="E16" s="176"/>
      <c r="F16" s="18">
        <v>0</v>
      </c>
      <c r="G16" s="16"/>
      <c r="I16" s="17"/>
    </row>
    <row r="17" spans="2:9" x14ac:dyDescent="0.25">
      <c r="B17" s="174" t="s">
        <v>8</v>
      </c>
      <c r="C17" s="175"/>
      <c r="D17" s="175"/>
      <c r="E17" s="176" t="s">
        <v>9</v>
      </c>
      <c r="F17" s="18">
        <v>0</v>
      </c>
      <c r="G17" s="16"/>
      <c r="I17" s="17"/>
    </row>
    <row r="18" spans="2:9" x14ac:dyDescent="0.25">
      <c r="B18" s="174" t="s">
        <v>10</v>
      </c>
      <c r="C18" s="175"/>
      <c r="D18" s="175"/>
      <c r="E18" s="176" t="s">
        <v>11</v>
      </c>
      <c r="F18" s="18">
        <f>+F16-F17</f>
        <v>0</v>
      </c>
      <c r="G18" s="16"/>
      <c r="I18" s="17"/>
    </row>
    <row r="19" spans="2:9" x14ac:dyDescent="0.25">
      <c r="F19" s="19"/>
    </row>
    <row r="20" spans="2:9" x14ac:dyDescent="0.25">
      <c r="B20" s="177" t="s">
        <v>12</v>
      </c>
      <c r="C20" s="178"/>
      <c r="D20" s="178"/>
      <c r="E20" s="179"/>
      <c r="F20" s="20">
        <v>0</v>
      </c>
    </row>
  </sheetData>
  <mergeCells count="4">
    <mergeCell ref="B16:E16"/>
    <mergeCell ref="B17:E17"/>
    <mergeCell ref="B18:E18"/>
    <mergeCell ref="B20:E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0"/>
  <sheetViews>
    <sheetView showGridLines="0" topLeftCell="A28" workbookViewId="0">
      <selection activeCell="F48" sqref="F48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31.140625" bestFit="1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1" ht="15.75" x14ac:dyDescent="0.25">
      <c r="B1" s="35" t="s">
        <v>29</v>
      </c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5">
      <c r="B4" s="61">
        <v>45239</v>
      </c>
      <c r="C4" s="62" t="s">
        <v>24</v>
      </c>
      <c r="D4" s="63">
        <v>200001290</v>
      </c>
      <c r="E4" s="64">
        <f>+B4+10</f>
        <v>45249</v>
      </c>
      <c r="F4" s="65">
        <v>14027412.630000001</v>
      </c>
      <c r="G4" s="66"/>
      <c r="H4" s="68" t="s">
        <v>35</v>
      </c>
      <c r="I4" s="86" t="s">
        <v>45</v>
      </c>
      <c r="J4" s="49"/>
      <c r="K4" s="54"/>
    </row>
    <row r="5" spans="2:11" s="23" customFormat="1" x14ac:dyDescent="0.25">
      <c r="B5" s="61">
        <v>45287</v>
      </c>
      <c r="C5" s="62" t="s">
        <v>24</v>
      </c>
      <c r="D5" s="63">
        <v>200001295</v>
      </c>
      <c r="E5" s="64">
        <f>+B5+10</f>
        <v>45297</v>
      </c>
      <c r="F5" s="65">
        <v>2951611.1</v>
      </c>
      <c r="G5" s="66" t="s">
        <v>34</v>
      </c>
      <c r="H5" s="68" t="s">
        <v>35</v>
      </c>
      <c r="I5" s="86" t="s">
        <v>45</v>
      </c>
      <c r="J5" s="49"/>
      <c r="K5" s="54"/>
    </row>
    <row r="6" spans="2:11" s="23" customFormat="1" x14ac:dyDescent="0.25">
      <c r="B6" s="61">
        <v>45287</v>
      </c>
      <c r="C6" s="62" t="s">
        <v>24</v>
      </c>
      <c r="D6" s="63">
        <v>200001296</v>
      </c>
      <c r="E6" s="64">
        <f>+B6+10</f>
        <v>45297</v>
      </c>
      <c r="F6" s="65">
        <v>8250015.79</v>
      </c>
      <c r="G6" s="66" t="s">
        <v>15</v>
      </c>
      <c r="H6" s="68" t="s">
        <v>35</v>
      </c>
      <c r="I6" s="86" t="s">
        <v>45</v>
      </c>
      <c r="J6" s="49"/>
      <c r="K6" s="54"/>
    </row>
    <row r="7" spans="2:11" s="23" customFormat="1" x14ac:dyDescent="0.25">
      <c r="B7" s="61">
        <v>45296</v>
      </c>
      <c r="C7" s="62" t="s">
        <v>24</v>
      </c>
      <c r="D7" s="63">
        <v>200001300</v>
      </c>
      <c r="E7" s="64">
        <f>+B7+10</f>
        <v>45306</v>
      </c>
      <c r="F7" s="65">
        <v>12437750.57</v>
      </c>
      <c r="G7" s="66" t="s">
        <v>31</v>
      </c>
      <c r="H7" s="64">
        <v>45369</v>
      </c>
      <c r="I7" s="67">
        <f>+B7-H7</f>
        <v>-73</v>
      </c>
      <c r="J7" s="49"/>
      <c r="K7" s="54"/>
    </row>
    <row r="8" spans="2:11" s="23" customFormat="1" x14ac:dyDescent="0.25">
      <c r="B8" s="61">
        <v>45296</v>
      </c>
      <c r="C8" s="62" t="s">
        <v>24</v>
      </c>
      <c r="D8" s="63">
        <v>200001301</v>
      </c>
      <c r="E8" s="64">
        <f>+B8+10</f>
        <v>45306</v>
      </c>
      <c r="F8" s="65">
        <v>4787116.08</v>
      </c>
      <c r="G8" s="66" t="s">
        <v>30</v>
      </c>
      <c r="H8" s="64" t="s">
        <v>35</v>
      </c>
      <c r="I8" s="86" t="s">
        <v>45</v>
      </c>
      <c r="J8" s="49"/>
      <c r="K8" s="54"/>
    </row>
    <row r="9" spans="2:11" s="23" customFormat="1" x14ac:dyDescent="0.25">
      <c r="B9" s="61">
        <v>45356</v>
      </c>
      <c r="C9" s="62" t="s">
        <v>24</v>
      </c>
      <c r="D9" s="63">
        <v>200001303</v>
      </c>
      <c r="E9" s="64">
        <f t="shared" ref="E9:E23" si="0">+B9+30</f>
        <v>45386</v>
      </c>
      <c r="F9" s="65">
        <v>19949798.77</v>
      </c>
      <c r="G9" s="66" t="s">
        <v>49</v>
      </c>
      <c r="H9" s="64" t="s">
        <v>35</v>
      </c>
      <c r="I9" s="86" t="s">
        <v>45</v>
      </c>
      <c r="J9" s="49"/>
      <c r="K9" s="54"/>
    </row>
    <row r="10" spans="2:11" s="23" customFormat="1" x14ac:dyDescent="0.25">
      <c r="B10" s="61">
        <v>45356</v>
      </c>
      <c r="C10" s="62" t="s">
        <v>24</v>
      </c>
      <c r="D10" s="63">
        <v>200001304</v>
      </c>
      <c r="E10" s="64">
        <f t="shared" si="0"/>
        <v>45386</v>
      </c>
      <c r="F10" s="65">
        <v>1802758.43</v>
      </c>
      <c r="G10" s="66" t="s">
        <v>42</v>
      </c>
      <c r="H10" s="68" t="s">
        <v>45</v>
      </c>
      <c r="I10" s="86" t="s">
        <v>45</v>
      </c>
      <c r="J10" s="49"/>
      <c r="K10" s="54"/>
    </row>
    <row r="11" spans="2:11" s="23" customFormat="1" x14ac:dyDescent="0.25">
      <c r="B11" s="61">
        <v>45376</v>
      </c>
      <c r="C11" s="62" t="s">
        <v>24</v>
      </c>
      <c r="D11" s="63">
        <v>200001307</v>
      </c>
      <c r="E11" s="64">
        <f t="shared" si="0"/>
        <v>45406</v>
      </c>
      <c r="F11" s="65">
        <v>4772819.53</v>
      </c>
      <c r="G11" s="66" t="s">
        <v>50</v>
      </c>
      <c r="H11" s="68" t="s">
        <v>45</v>
      </c>
      <c r="I11" s="86" t="s">
        <v>45</v>
      </c>
      <c r="J11" s="49"/>
      <c r="K11" s="54"/>
    </row>
    <row r="12" spans="2:11" s="23" customFormat="1" x14ac:dyDescent="0.25">
      <c r="B12" s="61">
        <v>45376</v>
      </c>
      <c r="C12" s="62" t="s">
        <v>24</v>
      </c>
      <c r="D12" s="63">
        <v>200001308</v>
      </c>
      <c r="E12" s="64">
        <f t="shared" si="0"/>
        <v>45406</v>
      </c>
      <c r="F12" s="65">
        <v>9144737.9499999993</v>
      </c>
      <c r="G12" s="66" t="s">
        <v>51</v>
      </c>
      <c r="H12" s="68" t="s">
        <v>45</v>
      </c>
      <c r="I12" s="86" t="s">
        <v>45</v>
      </c>
      <c r="J12" s="49"/>
      <c r="K12" s="54"/>
    </row>
    <row r="13" spans="2:11" s="23" customFormat="1" x14ac:dyDescent="0.25">
      <c r="B13" s="61">
        <v>45377</v>
      </c>
      <c r="C13" s="62" t="s">
        <v>46</v>
      </c>
      <c r="D13" s="63">
        <v>200000091</v>
      </c>
      <c r="E13" s="64">
        <f t="shared" si="0"/>
        <v>45407</v>
      </c>
      <c r="F13" s="65">
        <v>-4772819.53</v>
      </c>
      <c r="G13" s="66" t="s">
        <v>59</v>
      </c>
      <c r="H13" s="68" t="s">
        <v>45</v>
      </c>
      <c r="I13" s="86" t="s">
        <v>45</v>
      </c>
      <c r="J13" s="49"/>
      <c r="K13" s="54"/>
    </row>
    <row r="14" spans="2:11" s="23" customFormat="1" x14ac:dyDescent="0.25">
      <c r="B14" s="61">
        <v>45377</v>
      </c>
      <c r="C14" s="62" t="s">
        <v>46</v>
      </c>
      <c r="D14" s="63">
        <v>200000092</v>
      </c>
      <c r="E14" s="64">
        <f t="shared" si="0"/>
        <v>45407</v>
      </c>
      <c r="F14" s="65">
        <v>-9144737.9499999993</v>
      </c>
      <c r="G14" s="66" t="s">
        <v>60</v>
      </c>
      <c r="H14" s="68" t="s">
        <v>45</v>
      </c>
      <c r="I14" s="86" t="s">
        <v>45</v>
      </c>
      <c r="J14" s="49"/>
      <c r="K14" s="54"/>
    </row>
    <row r="15" spans="2:11" s="23" customFormat="1" x14ac:dyDescent="0.25">
      <c r="B15" s="61">
        <v>45378</v>
      </c>
      <c r="C15" s="62" t="s">
        <v>46</v>
      </c>
      <c r="D15" s="63">
        <v>200000097</v>
      </c>
      <c r="E15" s="64">
        <f t="shared" si="0"/>
        <v>45408</v>
      </c>
      <c r="F15" s="65">
        <v>-6449959.9699999997</v>
      </c>
      <c r="G15" s="66" t="s">
        <v>61</v>
      </c>
      <c r="H15" s="68" t="s">
        <v>45</v>
      </c>
      <c r="I15" s="86" t="s">
        <v>45</v>
      </c>
      <c r="J15" s="49"/>
      <c r="K15" s="54"/>
    </row>
    <row r="16" spans="2:11" s="23" customFormat="1" x14ac:dyDescent="0.25">
      <c r="B16" s="61">
        <v>45407</v>
      </c>
      <c r="C16" s="62" t="s">
        <v>24</v>
      </c>
      <c r="D16" s="63">
        <v>200001313</v>
      </c>
      <c r="E16" s="64">
        <f t="shared" si="0"/>
        <v>45437</v>
      </c>
      <c r="F16" s="65">
        <v>4772819.53</v>
      </c>
      <c r="G16" s="66" t="s">
        <v>50</v>
      </c>
      <c r="H16" s="64" t="s">
        <v>35</v>
      </c>
      <c r="I16" s="86" t="s">
        <v>45</v>
      </c>
      <c r="J16" s="49"/>
      <c r="K16" s="54"/>
    </row>
    <row r="17" spans="2:11" s="23" customFormat="1" x14ac:dyDescent="0.25">
      <c r="B17" s="61">
        <v>45407</v>
      </c>
      <c r="C17" s="62" t="s">
        <v>24</v>
      </c>
      <c r="D17" s="63">
        <v>200001314</v>
      </c>
      <c r="E17" s="64">
        <f t="shared" si="0"/>
        <v>45437</v>
      </c>
      <c r="F17" s="65">
        <v>9144737.9499999993</v>
      </c>
      <c r="G17" s="66" t="s">
        <v>51</v>
      </c>
      <c r="H17" s="64" t="s">
        <v>35</v>
      </c>
      <c r="I17" s="86" t="s">
        <v>45</v>
      </c>
      <c r="J17" s="49"/>
      <c r="K17" s="54"/>
    </row>
    <row r="18" spans="2:11" s="23" customFormat="1" x14ac:dyDescent="0.25">
      <c r="B18" s="61">
        <v>45440</v>
      </c>
      <c r="C18" s="62" t="s">
        <v>24</v>
      </c>
      <c r="D18" s="63">
        <v>200001323</v>
      </c>
      <c r="E18" s="64">
        <f t="shared" si="0"/>
        <v>45470</v>
      </c>
      <c r="F18" s="65">
        <v>12098634.02</v>
      </c>
      <c r="G18" s="79" t="s">
        <v>72</v>
      </c>
      <c r="H18" s="64" t="s">
        <v>35</v>
      </c>
      <c r="I18" s="86" t="s">
        <v>45</v>
      </c>
      <c r="J18" s="49"/>
      <c r="K18" s="54"/>
    </row>
    <row r="19" spans="2:11" s="23" customFormat="1" x14ac:dyDescent="0.25">
      <c r="B19" s="61">
        <v>45446</v>
      </c>
      <c r="C19" s="62" t="s">
        <v>24</v>
      </c>
      <c r="D19" s="63">
        <v>200001326</v>
      </c>
      <c r="E19" s="64">
        <f t="shared" si="0"/>
        <v>45476</v>
      </c>
      <c r="F19" s="65">
        <v>8772500</v>
      </c>
      <c r="G19" s="66" t="s">
        <v>73</v>
      </c>
      <c r="H19" s="64" t="s">
        <v>35</v>
      </c>
      <c r="I19" s="86" t="s">
        <v>45</v>
      </c>
      <c r="J19" s="49"/>
      <c r="K19" s="54"/>
    </row>
    <row r="20" spans="2:11" s="23" customFormat="1" x14ac:dyDescent="0.25">
      <c r="B20" s="61">
        <v>45474</v>
      </c>
      <c r="C20" s="62" t="s">
        <v>24</v>
      </c>
      <c r="D20" s="63">
        <v>200001330</v>
      </c>
      <c r="E20" s="64">
        <f t="shared" si="0"/>
        <v>45504</v>
      </c>
      <c r="F20" s="65">
        <v>6500000</v>
      </c>
      <c r="G20" s="66" t="s">
        <v>79</v>
      </c>
      <c r="H20" s="64" t="s">
        <v>35</v>
      </c>
      <c r="I20" s="86" t="s">
        <v>45</v>
      </c>
      <c r="J20" s="49"/>
      <c r="K20" s="54"/>
    </row>
    <row r="21" spans="2:11" s="23" customFormat="1" x14ac:dyDescent="0.25">
      <c r="B21" s="61">
        <v>45505</v>
      </c>
      <c r="C21" s="62" t="s">
        <v>24</v>
      </c>
      <c r="D21" s="63">
        <v>200001334</v>
      </c>
      <c r="E21" s="64">
        <f t="shared" si="0"/>
        <v>45535</v>
      </c>
      <c r="F21" s="65">
        <v>9982500</v>
      </c>
      <c r="G21" s="66" t="s">
        <v>79</v>
      </c>
      <c r="H21" s="64" t="s">
        <v>35</v>
      </c>
      <c r="I21" s="86" t="s">
        <v>45</v>
      </c>
      <c r="J21" s="49"/>
      <c r="K21" s="54"/>
    </row>
    <row r="22" spans="2:11" s="23" customFormat="1" x14ac:dyDescent="0.25">
      <c r="B22" s="61">
        <v>45537</v>
      </c>
      <c r="C22" s="62" t="s">
        <v>24</v>
      </c>
      <c r="D22" s="63">
        <v>200001341</v>
      </c>
      <c r="E22" s="64">
        <f t="shared" si="0"/>
        <v>45567</v>
      </c>
      <c r="F22" s="65">
        <v>9982500</v>
      </c>
      <c r="G22" s="66" t="s">
        <v>79</v>
      </c>
      <c r="H22" s="64" t="s">
        <v>35</v>
      </c>
      <c r="I22" s="86" t="s">
        <v>45</v>
      </c>
      <c r="J22" s="49"/>
      <c r="K22" s="54"/>
    </row>
    <row r="23" spans="2:11" s="23" customFormat="1" x14ac:dyDescent="0.25">
      <c r="B23" s="61">
        <v>45568</v>
      </c>
      <c r="C23" s="62" t="s">
        <v>24</v>
      </c>
      <c r="D23" s="63">
        <v>200001347</v>
      </c>
      <c r="E23" s="64">
        <f t="shared" si="0"/>
        <v>45598</v>
      </c>
      <c r="F23" s="65">
        <v>12556839.15</v>
      </c>
      <c r="G23" s="66" t="s">
        <v>79</v>
      </c>
      <c r="H23" s="64" t="s">
        <v>35</v>
      </c>
      <c r="I23" s="86" t="s">
        <v>45</v>
      </c>
      <c r="J23" s="49"/>
      <c r="K23" s="54"/>
    </row>
    <row r="24" spans="2:11" s="23" customFormat="1" x14ac:dyDescent="0.25">
      <c r="B24" s="61">
        <v>45600</v>
      </c>
      <c r="C24" s="62" t="s">
        <v>24</v>
      </c>
      <c r="D24" s="63">
        <v>200001351</v>
      </c>
      <c r="E24" s="64">
        <f>+B24+0</f>
        <v>45600</v>
      </c>
      <c r="F24" s="65">
        <v>12992462.039999999</v>
      </c>
      <c r="G24" s="66" t="s">
        <v>79</v>
      </c>
      <c r="H24" s="64" t="s">
        <v>35</v>
      </c>
      <c r="I24" s="86" t="s">
        <v>45</v>
      </c>
      <c r="J24" s="49"/>
      <c r="K24" s="54"/>
    </row>
    <row r="25" spans="2:11" s="23" customFormat="1" x14ac:dyDescent="0.25">
      <c r="B25" s="61">
        <v>45629</v>
      </c>
      <c r="C25" s="62" t="s">
        <v>24</v>
      </c>
      <c r="D25" s="63" t="s">
        <v>115</v>
      </c>
      <c r="E25" s="64">
        <f>+B25+0</f>
        <v>45629</v>
      </c>
      <c r="F25" s="65">
        <v>13342185.07</v>
      </c>
      <c r="G25" s="66" t="s">
        <v>79</v>
      </c>
      <c r="H25" s="64" t="s">
        <v>35</v>
      </c>
      <c r="I25" s="86" t="s">
        <v>45</v>
      </c>
      <c r="J25" s="49"/>
      <c r="K25" s="54"/>
    </row>
    <row r="26" spans="2:11" s="23" customFormat="1" x14ac:dyDescent="0.25">
      <c r="B26" s="61">
        <v>45659</v>
      </c>
      <c r="C26" s="62" t="s">
        <v>24</v>
      </c>
      <c r="D26" s="63" t="s">
        <v>119</v>
      </c>
      <c r="E26" s="64">
        <f>+B26+0</f>
        <v>45659</v>
      </c>
      <c r="F26" s="65">
        <v>13665940.68</v>
      </c>
      <c r="G26" s="66" t="s">
        <v>79</v>
      </c>
      <c r="H26" s="64" t="s">
        <v>35</v>
      </c>
      <c r="I26" s="86" t="s">
        <v>45</v>
      </c>
      <c r="J26" s="49"/>
      <c r="K26" s="54"/>
    </row>
    <row r="27" spans="2:11" s="23" customFormat="1" x14ac:dyDescent="0.25">
      <c r="B27" s="61">
        <v>45691</v>
      </c>
      <c r="C27" s="62" t="s">
        <v>24</v>
      </c>
      <c r="D27" s="63" t="s">
        <v>126</v>
      </c>
      <c r="E27" s="64">
        <f>+B27+30</f>
        <v>45721</v>
      </c>
      <c r="F27" s="65">
        <v>14035481.93</v>
      </c>
      <c r="G27" s="66" t="s">
        <v>79</v>
      </c>
      <c r="H27" s="64" t="s">
        <v>35</v>
      </c>
      <c r="I27" s="86" t="s">
        <v>45</v>
      </c>
      <c r="J27" s="49"/>
      <c r="K27" s="54"/>
    </row>
    <row r="28" spans="2:11" s="23" customFormat="1" x14ac:dyDescent="0.25">
      <c r="B28" s="61">
        <v>45721</v>
      </c>
      <c r="C28" s="62" t="s">
        <v>24</v>
      </c>
      <c r="D28" s="63" t="s">
        <v>142</v>
      </c>
      <c r="E28" s="64">
        <f>+B28+30</f>
        <v>45751</v>
      </c>
      <c r="F28" s="65">
        <v>14345813.18</v>
      </c>
      <c r="G28" s="66" t="s">
        <v>79</v>
      </c>
      <c r="H28" s="64" t="s">
        <v>35</v>
      </c>
      <c r="I28" s="86" t="s">
        <v>45</v>
      </c>
      <c r="J28" s="49"/>
      <c r="K28" s="54"/>
    </row>
    <row r="29" spans="2:11" s="23" customFormat="1" x14ac:dyDescent="0.25">
      <c r="B29" s="61">
        <v>45748</v>
      </c>
      <c r="C29" s="62" t="s">
        <v>24</v>
      </c>
      <c r="D29" s="63" t="s">
        <v>155</v>
      </c>
      <c r="E29" s="64">
        <f>+B29+30</f>
        <v>45778</v>
      </c>
      <c r="F29" s="65">
        <v>14690346.16</v>
      </c>
      <c r="G29" s="66" t="s">
        <v>79</v>
      </c>
      <c r="H29" s="64" t="s">
        <v>35</v>
      </c>
      <c r="I29" s="86" t="s">
        <v>45</v>
      </c>
      <c r="J29" s="49"/>
      <c r="K29" s="54"/>
    </row>
    <row r="30" spans="2:11" s="23" customFormat="1" x14ac:dyDescent="0.25">
      <c r="B30" s="73">
        <v>45769</v>
      </c>
      <c r="C30" s="74" t="s">
        <v>24</v>
      </c>
      <c r="D30" s="90" t="s">
        <v>166</v>
      </c>
      <c r="E30" s="75">
        <f>+B30+30</f>
        <v>45799</v>
      </c>
      <c r="F30" s="76">
        <v>480078.39</v>
      </c>
      <c r="G30" s="77" t="s">
        <v>167</v>
      </c>
      <c r="H30" s="75"/>
      <c r="I30" s="93"/>
      <c r="J30" s="49"/>
      <c r="K30" s="54"/>
    </row>
    <row r="31" spans="2:11" s="23" customFormat="1" x14ac:dyDescent="0.25">
      <c r="B31" s="61">
        <v>45782</v>
      </c>
      <c r="C31" s="62" t="s">
        <v>24</v>
      </c>
      <c r="D31" s="63" t="s">
        <v>172</v>
      </c>
      <c r="E31" s="64">
        <v>45782</v>
      </c>
      <c r="F31" s="65">
        <v>15238198.43</v>
      </c>
      <c r="G31" s="66" t="s">
        <v>79</v>
      </c>
      <c r="H31" s="64" t="s">
        <v>35</v>
      </c>
      <c r="I31" s="86" t="s">
        <v>45</v>
      </c>
      <c r="J31" s="49"/>
      <c r="K31" s="54"/>
    </row>
    <row r="32" spans="2:11" s="23" customFormat="1" x14ac:dyDescent="0.25">
      <c r="B32" s="61">
        <v>45810</v>
      </c>
      <c r="C32" s="62" t="s">
        <v>24</v>
      </c>
      <c r="D32" s="87" t="s">
        <v>181</v>
      </c>
      <c r="E32" s="64">
        <f t="shared" ref="E32:E37" si="1">+B32+30</f>
        <v>45840</v>
      </c>
      <c r="F32" s="65">
        <v>15661947.710000001</v>
      </c>
      <c r="G32" s="66" t="s">
        <v>79</v>
      </c>
      <c r="H32" s="64" t="s">
        <v>35</v>
      </c>
      <c r="I32" s="86"/>
      <c r="J32" s="49"/>
      <c r="K32" s="54"/>
    </row>
    <row r="33" spans="2:14" s="23" customFormat="1" x14ac:dyDescent="0.25">
      <c r="B33" s="61">
        <v>45839</v>
      </c>
      <c r="C33" s="62" t="s">
        <v>24</v>
      </c>
      <c r="D33" s="87" t="s">
        <v>221</v>
      </c>
      <c r="E33" s="64">
        <f t="shared" si="1"/>
        <v>45869</v>
      </c>
      <c r="F33" s="65">
        <v>15897050.560000001</v>
      </c>
      <c r="G33" s="66" t="s">
        <v>79</v>
      </c>
      <c r="H33" s="64" t="s">
        <v>35</v>
      </c>
      <c r="I33" s="86"/>
      <c r="J33" s="49"/>
      <c r="K33" s="54"/>
    </row>
    <row r="34" spans="2:14" s="23" customFormat="1" x14ac:dyDescent="0.25">
      <c r="B34" s="61">
        <v>45870</v>
      </c>
      <c r="C34" s="62" t="s">
        <v>24</v>
      </c>
      <c r="D34" s="87" t="s">
        <v>260</v>
      </c>
      <c r="E34" s="64">
        <f t="shared" si="1"/>
        <v>45900</v>
      </c>
      <c r="F34" s="65">
        <v>6160000</v>
      </c>
      <c r="G34" s="66" t="s">
        <v>79</v>
      </c>
      <c r="H34" s="64" t="s">
        <v>35</v>
      </c>
      <c r="I34" s="86"/>
      <c r="J34" s="49"/>
      <c r="K34" s="54"/>
    </row>
    <row r="35" spans="2:14" s="23" customFormat="1" x14ac:dyDescent="0.25">
      <c r="B35" s="61">
        <v>45901</v>
      </c>
      <c r="C35" s="62" t="s">
        <v>24</v>
      </c>
      <c r="D35" s="87" t="s">
        <v>275</v>
      </c>
      <c r="E35" s="64">
        <f t="shared" si="1"/>
        <v>45931</v>
      </c>
      <c r="F35" s="65">
        <v>7746260.2800000003</v>
      </c>
      <c r="G35" s="66" t="s">
        <v>79</v>
      </c>
      <c r="H35" s="64" t="s">
        <v>35</v>
      </c>
      <c r="I35" s="86"/>
      <c r="J35" s="49"/>
      <c r="K35" s="54"/>
    </row>
    <row r="36" spans="2:14" s="23" customFormat="1" x14ac:dyDescent="0.25">
      <c r="B36" s="61">
        <v>45931</v>
      </c>
      <c r="C36" s="62" t="s">
        <v>24</v>
      </c>
      <c r="D36" s="87" t="s">
        <v>286</v>
      </c>
      <c r="E36" s="64">
        <f t="shared" si="1"/>
        <v>45961</v>
      </c>
      <c r="F36" s="65">
        <v>15171232.890000001</v>
      </c>
      <c r="G36" s="66" t="s">
        <v>79</v>
      </c>
      <c r="H36" s="64" t="s">
        <v>35</v>
      </c>
      <c r="I36" s="86"/>
      <c r="J36" s="49"/>
      <c r="K36" s="54"/>
    </row>
    <row r="37" spans="2:14" s="23" customFormat="1" x14ac:dyDescent="0.25">
      <c r="B37" s="143">
        <v>45964</v>
      </c>
      <c r="C37" s="148" t="s">
        <v>24</v>
      </c>
      <c r="D37" s="145" t="s">
        <v>306</v>
      </c>
      <c r="E37" s="146">
        <f t="shared" si="1"/>
        <v>45994</v>
      </c>
      <c r="F37" s="65">
        <v>4265315.1900000004</v>
      </c>
      <c r="G37" s="147" t="s">
        <v>79</v>
      </c>
      <c r="H37" s="146" t="s">
        <v>35</v>
      </c>
      <c r="I37" s="86"/>
      <c r="J37" s="49"/>
      <c r="K37" s="54"/>
    </row>
    <row r="38" spans="2:14" s="23" customFormat="1" x14ac:dyDescent="0.25">
      <c r="B38" s="143">
        <v>45992</v>
      </c>
      <c r="C38" s="148" t="s">
        <v>24</v>
      </c>
      <c r="D38" s="145" t="s">
        <v>311</v>
      </c>
      <c r="E38" s="146">
        <f t="shared" ref="E38:E40" si="2">+B38+30</f>
        <v>46022</v>
      </c>
      <c r="F38" s="65">
        <v>11987915.300000001</v>
      </c>
      <c r="G38" s="147" t="s">
        <v>79</v>
      </c>
      <c r="H38" s="146" t="s">
        <v>35</v>
      </c>
      <c r="I38" s="86"/>
      <c r="J38" s="49"/>
      <c r="K38" s="54"/>
    </row>
    <row r="39" spans="2:14" s="23" customFormat="1" x14ac:dyDescent="0.25">
      <c r="B39" s="73">
        <v>46013</v>
      </c>
      <c r="C39" s="74" t="s">
        <v>24</v>
      </c>
      <c r="D39" s="161" t="s">
        <v>323</v>
      </c>
      <c r="E39" s="75">
        <f t="shared" si="2"/>
        <v>46043</v>
      </c>
      <c r="F39" s="76">
        <v>6863358.5599999996</v>
      </c>
      <c r="G39" s="77" t="s">
        <v>324</v>
      </c>
      <c r="H39" s="75"/>
      <c r="I39" s="93"/>
      <c r="J39" s="49"/>
      <c r="K39" s="54"/>
    </row>
    <row r="40" spans="2:14" s="152" customFormat="1" x14ac:dyDescent="0.25">
      <c r="B40" s="143">
        <v>46024</v>
      </c>
      <c r="C40" s="148" t="s">
        <v>24</v>
      </c>
      <c r="D40" s="145" t="s">
        <v>325</v>
      </c>
      <c r="E40" s="146">
        <f t="shared" si="2"/>
        <v>46054</v>
      </c>
      <c r="F40" s="65">
        <v>14359088.199999999</v>
      </c>
      <c r="G40" s="147" t="s">
        <v>79</v>
      </c>
      <c r="H40" s="146"/>
      <c r="I40" s="86"/>
      <c r="J40" s="49"/>
      <c r="K40" s="54"/>
    </row>
    <row r="41" spans="2:14" x14ac:dyDescent="0.25">
      <c r="C41" s="30"/>
      <c r="D41" s="43"/>
      <c r="E41" s="44"/>
      <c r="F41" s="45"/>
      <c r="G41" s="16"/>
      <c r="I41" s="50"/>
      <c r="J41" s="58"/>
      <c r="K41" s="56"/>
      <c r="N41" s="26"/>
    </row>
    <row r="42" spans="2:14" x14ac:dyDescent="0.25">
      <c r="C42" s="30"/>
      <c r="D42" s="43"/>
      <c r="E42" s="44"/>
      <c r="F42" s="45"/>
      <c r="G42" s="16"/>
      <c r="I42" s="50"/>
      <c r="J42" s="58"/>
      <c r="K42" s="56"/>
      <c r="N42" s="26"/>
    </row>
    <row r="43" spans="2:14" x14ac:dyDescent="0.25">
      <c r="B43" s="174" t="s">
        <v>7</v>
      </c>
      <c r="C43" s="175"/>
      <c r="D43" s="175"/>
      <c r="E43" s="176"/>
      <c r="F43" s="18">
        <v>0</v>
      </c>
      <c r="J43" s="59"/>
      <c r="K43" s="60"/>
      <c r="L43" s="59"/>
    </row>
    <row r="44" spans="2:14" x14ac:dyDescent="0.25">
      <c r="B44" s="174" t="s">
        <v>8</v>
      </c>
      <c r="C44" s="175"/>
      <c r="D44" s="175"/>
      <c r="E44" s="176" t="s">
        <v>9</v>
      </c>
      <c r="F44" s="18"/>
      <c r="G44" s="46"/>
    </row>
    <row r="45" spans="2:14" x14ac:dyDescent="0.25">
      <c r="B45" s="174" t="s">
        <v>10</v>
      </c>
      <c r="C45" s="175"/>
      <c r="D45" s="175"/>
      <c r="E45" s="176" t="s">
        <v>11</v>
      </c>
      <c r="F45" s="18">
        <f>+F43-F44</f>
        <v>0</v>
      </c>
      <c r="G45" s="46"/>
    </row>
    <row r="46" spans="2:14" x14ac:dyDescent="0.25">
      <c r="F46" s="47"/>
    </row>
    <row r="47" spans="2:14" x14ac:dyDescent="0.25">
      <c r="B47" s="177" t="s">
        <v>12</v>
      </c>
      <c r="C47" s="178"/>
      <c r="D47" s="178"/>
      <c r="E47" s="179"/>
      <c r="F47" s="48">
        <f>+F30+F39</f>
        <v>7343436.9499999993</v>
      </c>
    </row>
    <row r="48" spans="2:14" x14ac:dyDescent="0.25">
      <c r="G48" s="26"/>
    </row>
    <row r="50" spans="9:11" x14ac:dyDescent="0.25">
      <c r="I50" s="37"/>
      <c r="J50" s="37"/>
      <c r="K50" s="57"/>
    </row>
  </sheetData>
  <mergeCells count="4">
    <mergeCell ref="B43:E43"/>
    <mergeCell ref="B44:E44"/>
    <mergeCell ref="B45:E45"/>
    <mergeCell ref="B47:E4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GridLines="0" topLeftCell="A31" zoomScaleNormal="100" workbookViewId="0">
      <selection activeCell="F47" sqref="F47"/>
    </sheetView>
  </sheetViews>
  <sheetFormatPr baseColWidth="10" defaultRowHeight="15" x14ac:dyDescent="0.25"/>
  <cols>
    <col min="1" max="1" width="2.28515625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0.42578125" style="3" customWidth="1"/>
    <col min="6" max="6" width="15" style="80" customWidth="1"/>
    <col min="7" max="7" width="101.7109375" bestFit="1" customWidth="1"/>
    <col min="8" max="8" width="13.42578125" style="1" bestFit="1" customWidth="1"/>
    <col min="9" max="9" width="7.140625" bestFit="1" customWidth="1"/>
    <col min="10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1" ht="15.75" x14ac:dyDescent="0.25">
      <c r="B1" s="35" t="s">
        <v>40</v>
      </c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106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5">
      <c r="B4" s="61">
        <v>45350</v>
      </c>
      <c r="C4" s="62" t="s">
        <v>24</v>
      </c>
      <c r="D4" s="63">
        <v>300000024</v>
      </c>
      <c r="E4" s="64">
        <f t="shared" ref="E4:E26" si="0">+B4+30</f>
        <v>45380</v>
      </c>
      <c r="F4" s="107">
        <v>4143319.99</v>
      </c>
      <c r="G4" s="79" t="s">
        <v>41</v>
      </c>
      <c r="H4" s="68" t="s">
        <v>45</v>
      </c>
      <c r="I4" s="86" t="s">
        <v>45</v>
      </c>
      <c r="J4" s="49"/>
      <c r="K4" s="54"/>
    </row>
    <row r="5" spans="2:11" s="23" customFormat="1" x14ac:dyDescent="0.25">
      <c r="B5" s="61">
        <v>45363</v>
      </c>
      <c r="C5" s="62" t="s">
        <v>46</v>
      </c>
      <c r="D5" s="63">
        <v>300000004</v>
      </c>
      <c r="E5" s="64">
        <f t="shared" si="0"/>
        <v>45393</v>
      </c>
      <c r="F5" s="107">
        <v>-4143319.99</v>
      </c>
      <c r="G5" s="79" t="s">
        <v>47</v>
      </c>
      <c r="H5" s="68" t="s">
        <v>45</v>
      </c>
      <c r="I5" s="86" t="s">
        <v>45</v>
      </c>
      <c r="J5" s="49"/>
      <c r="K5" s="54"/>
    </row>
    <row r="6" spans="2:11" s="23" customFormat="1" x14ac:dyDescent="0.25">
      <c r="B6" s="61">
        <v>45363</v>
      </c>
      <c r="C6" s="62" t="s">
        <v>24</v>
      </c>
      <c r="D6" s="63">
        <v>300000025</v>
      </c>
      <c r="E6" s="64">
        <f t="shared" si="0"/>
        <v>45393</v>
      </c>
      <c r="F6" s="107">
        <v>4143319.99</v>
      </c>
      <c r="G6" s="79" t="s">
        <v>41</v>
      </c>
      <c r="H6" s="68">
        <v>45436</v>
      </c>
      <c r="I6" s="67">
        <f>+B6-H6</f>
        <v>-73</v>
      </c>
      <c r="J6" s="49"/>
      <c r="K6" s="54"/>
    </row>
    <row r="7" spans="2:11" s="23" customFormat="1" x14ac:dyDescent="0.25">
      <c r="B7" s="61">
        <v>45366</v>
      </c>
      <c r="C7" s="62" t="s">
        <v>24</v>
      </c>
      <c r="D7" s="63">
        <v>300000026</v>
      </c>
      <c r="E7" s="64">
        <f t="shared" si="0"/>
        <v>45396</v>
      </c>
      <c r="F7" s="107">
        <v>1006236</v>
      </c>
      <c r="G7" s="79" t="s">
        <v>48</v>
      </c>
      <c r="H7" s="68">
        <v>45490</v>
      </c>
      <c r="I7" s="67">
        <f>+B7-H7</f>
        <v>-124</v>
      </c>
      <c r="J7" s="49"/>
      <c r="K7" s="54"/>
    </row>
    <row r="8" spans="2:11" s="23" customFormat="1" x14ac:dyDescent="0.25">
      <c r="B8" s="61">
        <v>45455</v>
      </c>
      <c r="C8" s="62" t="s">
        <v>24</v>
      </c>
      <c r="D8" s="63">
        <v>300000027</v>
      </c>
      <c r="E8" s="64">
        <f t="shared" si="0"/>
        <v>45485</v>
      </c>
      <c r="F8" s="107">
        <v>16694073.550000001</v>
      </c>
      <c r="G8" s="79" t="s">
        <v>78</v>
      </c>
      <c r="H8" s="68" t="s">
        <v>45</v>
      </c>
      <c r="I8" s="86" t="s">
        <v>45</v>
      </c>
      <c r="J8" s="49"/>
      <c r="K8" s="54"/>
    </row>
    <row r="9" spans="2:11" s="23" customFormat="1" x14ac:dyDescent="0.25">
      <c r="B9" s="61">
        <v>45490</v>
      </c>
      <c r="C9" s="62" t="s">
        <v>46</v>
      </c>
      <c r="D9" s="63">
        <v>300000005</v>
      </c>
      <c r="E9" s="64">
        <f t="shared" si="0"/>
        <v>45520</v>
      </c>
      <c r="F9" s="107">
        <v>-16694073.550000001</v>
      </c>
      <c r="G9" s="79" t="s">
        <v>83</v>
      </c>
      <c r="H9" s="68" t="s">
        <v>45</v>
      </c>
      <c r="I9" s="86" t="s">
        <v>45</v>
      </c>
      <c r="J9" s="49"/>
      <c r="K9" s="54"/>
    </row>
    <row r="10" spans="2:11" s="23" customFormat="1" x14ac:dyDescent="0.25">
      <c r="B10" s="61">
        <v>45492</v>
      </c>
      <c r="C10" s="62" t="s">
        <v>24</v>
      </c>
      <c r="D10" s="63">
        <v>300000028</v>
      </c>
      <c r="E10" s="64">
        <f t="shared" si="0"/>
        <v>45522</v>
      </c>
      <c r="F10" s="107">
        <v>16694073.550000001</v>
      </c>
      <c r="G10" s="79" t="s">
        <v>78</v>
      </c>
      <c r="H10" s="68">
        <v>45520</v>
      </c>
      <c r="I10" s="67">
        <f>+B10-H10</f>
        <v>-28</v>
      </c>
      <c r="J10" s="49"/>
      <c r="K10" s="54"/>
    </row>
    <row r="11" spans="2:11" s="23" customFormat="1" x14ac:dyDescent="0.25">
      <c r="B11" s="61">
        <v>45504</v>
      </c>
      <c r="C11" s="62" t="s">
        <v>24</v>
      </c>
      <c r="D11" s="63">
        <v>300000029</v>
      </c>
      <c r="E11" s="64">
        <f t="shared" si="0"/>
        <v>45534</v>
      </c>
      <c r="F11" s="107">
        <v>2395800</v>
      </c>
      <c r="G11" s="79" t="s">
        <v>88</v>
      </c>
      <c r="H11" s="68" t="s">
        <v>45</v>
      </c>
      <c r="I11" s="86" t="s">
        <v>45</v>
      </c>
      <c r="J11" s="49"/>
      <c r="K11" s="54"/>
    </row>
    <row r="12" spans="2:11" s="23" customFormat="1" x14ac:dyDescent="0.25">
      <c r="B12" s="61">
        <v>45525</v>
      </c>
      <c r="C12" s="62" t="s">
        <v>24</v>
      </c>
      <c r="D12" s="63">
        <v>200001339</v>
      </c>
      <c r="E12" s="64">
        <f t="shared" si="0"/>
        <v>45555</v>
      </c>
      <c r="F12" s="107">
        <v>1064800</v>
      </c>
      <c r="G12" s="79" t="s">
        <v>96</v>
      </c>
      <c r="H12" s="68">
        <v>45581</v>
      </c>
      <c r="I12" s="67">
        <f>+B12-H12</f>
        <v>-56</v>
      </c>
      <c r="J12" s="49"/>
      <c r="K12" s="54"/>
    </row>
    <row r="13" spans="2:11" s="23" customFormat="1" x14ac:dyDescent="0.25">
      <c r="B13" s="61">
        <v>45538</v>
      </c>
      <c r="C13" s="62" t="s">
        <v>46</v>
      </c>
      <c r="D13" s="63">
        <v>300000006</v>
      </c>
      <c r="E13" s="64">
        <f t="shared" si="0"/>
        <v>45568</v>
      </c>
      <c r="F13" s="107">
        <v>-2395800</v>
      </c>
      <c r="G13" s="79" t="s">
        <v>99</v>
      </c>
      <c r="H13" s="68" t="s">
        <v>45</v>
      </c>
      <c r="I13" s="86" t="s">
        <v>45</v>
      </c>
      <c r="J13" s="49"/>
      <c r="K13" s="54"/>
    </row>
    <row r="14" spans="2:11" s="23" customFormat="1" x14ac:dyDescent="0.25">
      <c r="B14" s="61">
        <v>45560</v>
      </c>
      <c r="C14" s="62" t="s">
        <v>24</v>
      </c>
      <c r="D14" s="63">
        <v>300000030</v>
      </c>
      <c r="E14" s="64">
        <f t="shared" si="0"/>
        <v>45590</v>
      </c>
      <c r="F14" s="107">
        <v>25088834.539999999</v>
      </c>
      <c r="G14" s="79" t="s">
        <v>101</v>
      </c>
      <c r="H14" s="68">
        <v>45597</v>
      </c>
      <c r="I14" s="67">
        <f t="shared" ref="I14:I15" si="1">+B14-H14</f>
        <v>-37</v>
      </c>
      <c r="J14" s="49"/>
      <c r="K14" s="54"/>
    </row>
    <row r="15" spans="2:11" s="23" customFormat="1" x14ac:dyDescent="0.25">
      <c r="B15" s="61">
        <v>45573</v>
      </c>
      <c r="C15" s="62" t="s">
        <v>24</v>
      </c>
      <c r="D15" s="63">
        <v>300000031</v>
      </c>
      <c r="E15" s="64">
        <f t="shared" si="0"/>
        <v>45603</v>
      </c>
      <c r="F15" s="107">
        <v>2395800</v>
      </c>
      <c r="G15" s="79" t="s">
        <v>102</v>
      </c>
      <c r="H15" s="68">
        <v>45597</v>
      </c>
      <c r="I15" s="67">
        <f t="shared" si="1"/>
        <v>-24</v>
      </c>
      <c r="J15" s="49"/>
      <c r="K15" s="54"/>
    </row>
    <row r="16" spans="2:11" s="23" customFormat="1" x14ac:dyDescent="0.25">
      <c r="B16" s="61">
        <v>45574</v>
      </c>
      <c r="C16" s="62" t="s">
        <v>24</v>
      </c>
      <c r="D16" s="63">
        <v>300000032</v>
      </c>
      <c r="E16" s="64">
        <f t="shared" si="0"/>
        <v>45604</v>
      </c>
      <c r="F16" s="107">
        <v>34449607.5</v>
      </c>
      <c r="G16" s="79" t="s">
        <v>104</v>
      </c>
      <c r="H16" s="68">
        <v>45590</v>
      </c>
      <c r="I16" s="67">
        <f>+B16-H16</f>
        <v>-16</v>
      </c>
      <c r="J16" s="49"/>
      <c r="K16" s="54"/>
    </row>
    <row r="17" spans="2:11" s="23" customFormat="1" x14ac:dyDescent="0.25">
      <c r="B17" s="61">
        <v>45636</v>
      </c>
      <c r="C17" s="62" t="s">
        <v>24</v>
      </c>
      <c r="D17" s="63" t="s">
        <v>116</v>
      </c>
      <c r="E17" s="64">
        <f t="shared" si="0"/>
        <v>45666</v>
      </c>
      <c r="F17" s="107">
        <v>6551015.0199999996</v>
      </c>
      <c r="G17" s="79" t="s">
        <v>117</v>
      </c>
      <c r="H17" s="68">
        <v>45653</v>
      </c>
      <c r="I17" s="67">
        <f>+B17-H17</f>
        <v>-17</v>
      </c>
      <c r="J17" s="49"/>
      <c r="K17" s="54"/>
    </row>
    <row r="18" spans="2:11" s="23" customFormat="1" x14ac:dyDescent="0.25">
      <c r="B18" s="61">
        <v>45664</v>
      </c>
      <c r="C18" s="62" t="s">
        <v>24</v>
      </c>
      <c r="D18" s="63" t="s">
        <v>122</v>
      </c>
      <c r="E18" s="64">
        <f t="shared" si="0"/>
        <v>45694</v>
      </c>
      <c r="F18" s="107">
        <v>15923949.82</v>
      </c>
      <c r="G18" s="79" t="s">
        <v>134</v>
      </c>
      <c r="H18" s="68">
        <v>45702</v>
      </c>
      <c r="I18" s="67">
        <f>+B18-H18</f>
        <v>-38</v>
      </c>
      <c r="J18" s="49"/>
      <c r="K18" s="54"/>
    </row>
    <row r="19" spans="2:11" s="23" customFormat="1" x14ac:dyDescent="0.25">
      <c r="B19" s="61">
        <v>45692</v>
      </c>
      <c r="C19" s="62" t="s">
        <v>24</v>
      </c>
      <c r="D19" s="63" t="s">
        <v>132</v>
      </c>
      <c r="E19" s="64">
        <f t="shared" si="0"/>
        <v>45722</v>
      </c>
      <c r="F19" s="107">
        <v>3687332.3</v>
      </c>
      <c r="G19" s="79" t="s">
        <v>133</v>
      </c>
      <c r="H19" s="68">
        <v>45722</v>
      </c>
      <c r="I19" s="67">
        <f>+B19-H19</f>
        <v>-30</v>
      </c>
      <c r="J19" s="49"/>
      <c r="K19" s="54"/>
    </row>
    <row r="20" spans="2:11" s="23" customFormat="1" x14ac:dyDescent="0.25">
      <c r="B20" s="61">
        <v>45695</v>
      </c>
      <c r="C20" s="62" t="s">
        <v>24</v>
      </c>
      <c r="D20" s="63" t="s">
        <v>135</v>
      </c>
      <c r="E20" s="64">
        <f t="shared" si="0"/>
        <v>45725</v>
      </c>
      <c r="F20" s="107">
        <v>41127428.100000001</v>
      </c>
      <c r="G20" s="79" t="s">
        <v>136</v>
      </c>
      <c r="H20" s="68">
        <v>45722</v>
      </c>
      <c r="I20" s="67">
        <f>+B20-H20</f>
        <v>-27</v>
      </c>
      <c r="J20" s="49"/>
      <c r="K20" s="54"/>
    </row>
    <row r="21" spans="2:11" s="23" customFormat="1" x14ac:dyDescent="0.25">
      <c r="B21" s="61">
        <v>45736</v>
      </c>
      <c r="C21" s="62" t="s">
        <v>24</v>
      </c>
      <c r="D21" s="63" t="s">
        <v>153</v>
      </c>
      <c r="E21" s="64">
        <f t="shared" si="0"/>
        <v>45766</v>
      </c>
      <c r="F21" s="107">
        <v>15584770.960000001</v>
      </c>
      <c r="G21" s="79" t="s">
        <v>154</v>
      </c>
      <c r="H21" s="68" t="s">
        <v>45</v>
      </c>
      <c r="I21" s="86" t="s">
        <v>45</v>
      </c>
      <c r="J21" s="49"/>
      <c r="K21" s="54"/>
    </row>
    <row r="22" spans="2:11" s="23" customFormat="1" x14ac:dyDescent="0.25">
      <c r="B22" s="61">
        <v>45756</v>
      </c>
      <c r="C22" s="62" t="s">
        <v>46</v>
      </c>
      <c r="D22" s="63" t="s">
        <v>162</v>
      </c>
      <c r="E22" s="64">
        <f t="shared" si="0"/>
        <v>45786</v>
      </c>
      <c r="F22" s="107">
        <v>15584770.960000001</v>
      </c>
      <c r="G22" s="79" t="s">
        <v>163</v>
      </c>
      <c r="H22" s="68" t="s">
        <v>45</v>
      </c>
      <c r="I22" s="86" t="s">
        <v>45</v>
      </c>
      <c r="J22" s="49"/>
      <c r="K22" s="54"/>
    </row>
    <row r="23" spans="2:11" s="23" customFormat="1" x14ac:dyDescent="0.25">
      <c r="B23" s="61">
        <v>45756</v>
      </c>
      <c r="C23" s="62" t="s">
        <v>24</v>
      </c>
      <c r="D23" s="63" t="s">
        <v>164</v>
      </c>
      <c r="E23" s="64">
        <f t="shared" si="0"/>
        <v>45786</v>
      </c>
      <c r="F23" s="107">
        <v>7792385.4800000004</v>
      </c>
      <c r="G23" s="79" t="s">
        <v>165</v>
      </c>
      <c r="H23" s="68">
        <v>45772</v>
      </c>
      <c r="I23" s="67">
        <f>+B23-H23</f>
        <v>-16</v>
      </c>
      <c r="J23" s="49"/>
      <c r="K23" s="54"/>
    </row>
    <row r="24" spans="2:11" s="23" customFormat="1" x14ac:dyDescent="0.25">
      <c r="B24" s="61">
        <v>45796</v>
      </c>
      <c r="C24" s="62" t="s">
        <v>24</v>
      </c>
      <c r="D24" s="63" t="s">
        <v>176</v>
      </c>
      <c r="E24" s="64">
        <f t="shared" si="0"/>
        <v>45826</v>
      </c>
      <c r="F24" s="107">
        <f>17050998.14</f>
        <v>17050998.140000001</v>
      </c>
      <c r="G24" s="79" t="s">
        <v>177</v>
      </c>
      <c r="H24" s="68">
        <v>45821</v>
      </c>
      <c r="I24" s="67">
        <f t="shared" ref="I24:I26" si="2">+B24-H24</f>
        <v>-25</v>
      </c>
      <c r="J24" s="49"/>
      <c r="K24" s="54"/>
    </row>
    <row r="25" spans="2:11" s="23" customFormat="1" x14ac:dyDescent="0.25">
      <c r="B25" s="61">
        <v>45812</v>
      </c>
      <c r="C25" s="62" t="s">
        <v>24</v>
      </c>
      <c r="D25" s="63" t="s">
        <v>185</v>
      </c>
      <c r="E25" s="64">
        <f t="shared" si="0"/>
        <v>45842</v>
      </c>
      <c r="F25" s="107">
        <v>15584770.960000001</v>
      </c>
      <c r="G25" s="79" t="s">
        <v>154</v>
      </c>
      <c r="H25" s="68">
        <v>45841</v>
      </c>
      <c r="I25" s="67">
        <f t="shared" si="2"/>
        <v>-29</v>
      </c>
      <c r="J25" s="49"/>
      <c r="K25" s="54"/>
    </row>
    <row r="26" spans="2:11" s="23" customFormat="1" x14ac:dyDescent="0.25">
      <c r="B26" s="61">
        <v>45813</v>
      </c>
      <c r="C26" s="62" t="s">
        <v>46</v>
      </c>
      <c r="D26" s="63" t="s">
        <v>186</v>
      </c>
      <c r="E26" s="64">
        <f t="shared" si="0"/>
        <v>45843</v>
      </c>
      <c r="F26" s="107">
        <v>-7792385.4800000004</v>
      </c>
      <c r="G26" s="79" t="s">
        <v>187</v>
      </c>
      <c r="H26" s="68">
        <v>45841</v>
      </c>
      <c r="I26" s="67">
        <f t="shared" si="2"/>
        <v>-28</v>
      </c>
      <c r="J26" s="49"/>
      <c r="K26" s="54"/>
    </row>
    <row r="27" spans="2:11" s="23" customFormat="1" x14ac:dyDescent="0.25">
      <c r="B27" s="61">
        <v>45834</v>
      </c>
      <c r="C27" s="62" t="s">
        <v>24</v>
      </c>
      <c r="D27" s="63" t="s">
        <v>212</v>
      </c>
      <c r="E27" s="64">
        <f t="shared" ref="E27:E28" si="3">+B27+30</f>
        <v>45864</v>
      </c>
      <c r="F27" s="107">
        <v>13036296.789999999</v>
      </c>
      <c r="G27" s="79" t="s">
        <v>213</v>
      </c>
      <c r="H27" s="68">
        <v>45854</v>
      </c>
      <c r="I27" s="67">
        <f>+B27-H27</f>
        <v>-20</v>
      </c>
      <c r="J27" s="41"/>
      <c r="K27" s="55"/>
    </row>
    <row r="28" spans="2:11" s="23" customFormat="1" x14ac:dyDescent="0.25">
      <c r="B28" s="61">
        <v>45835</v>
      </c>
      <c r="C28" s="62" t="s">
        <v>24</v>
      </c>
      <c r="D28" s="63" t="s">
        <v>214</v>
      </c>
      <c r="E28" s="64">
        <f t="shared" si="3"/>
        <v>45865</v>
      </c>
      <c r="F28" s="107">
        <v>42411468</v>
      </c>
      <c r="G28" s="79" t="s">
        <v>215</v>
      </c>
      <c r="H28" s="68" t="s">
        <v>45</v>
      </c>
      <c r="I28" s="67" t="s">
        <v>45</v>
      </c>
      <c r="J28" s="41"/>
      <c r="K28" s="55"/>
    </row>
    <row r="29" spans="2:11" s="23" customFormat="1" x14ac:dyDescent="0.25">
      <c r="B29" s="61">
        <v>45854</v>
      </c>
      <c r="C29" s="62" t="s">
        <v>46</v>
      </c>
      <c r="D29" s="63" t="s">
        <v>234</v>
      </c>
      <c r="E29" s="64">
        <v>45885</v>
      </c>
      <c r="F29" s="107">
        <v>-42411468</v>
      </c>
      <c r="G29" s="79" t="s">
        <v>215</v>
      </c>
      <c r="H29" s="68" t="s">
        <v>45</v>
      </c>
      <c r="I29" s="67" t="s">
        <v>45</v>
      </c>
      <c r="J29" s="41"/>
      <c r="K29" s="55"/>
    </row>
    <row r="30" spans="2:11" s="23" customFormat="1" x14ac:dyDescent="0.25">
      <c r="B30" s="61">
        <v>45839</v>
      </c>
      <c r="C30" s="62" t="s">
        <v>24</v>
      </c>
      <c r="D30" s="63" t="s">
        <v>222</v>
      </c>
      <c r="E30" s="64">
        <f t="shared" ref="E30" si="4">+B30+30</f>
        <v>45869</v>
      </c>
      <c r="F30" s="107">
        <v>9634719.3100000005</v>
      </c>
      <c r="G30" s="128" t="s">
        <v>223</v>
      </c>
      <c r="H30" s="68" t="s">
        <v>45</v>
      </c>
      <c r="I30" s="67" t="s">
        <v>45</v>
      </c>
      <c r="J30" s="41"/>
      <c r="K30" s="55"/>
    </row>
    <row r="31" spans="2:11" s="23" customFormat="1" x14ac:dyDescent="0.25">
      <c r="B31" s="61">
        <v>45842</v>
      </c>
      <c r="C31" s="62" t="s">
        <v>24</v>
      </c>
      <c r="D31" s="63" t="s">
        <v>224</v>
      </c>
      <c r="E31" s="64">
        <f t="shared" ref="E31:E37" si="5">+B31+30</f>
        <v>45872</v>
      </c>
      <c r="F31" s="107">
        <v>9778860.2899999991</v>
      </c>
      <c r="G31" s="128" t="s">
        <v>225</v>
      </c>
      <c r="H31" s="68">
        <v>45855</v>
      </c>
      <c r="I31" s="67">
        <f>+B31-H31</f>
        <v>-13</v>
      </c>
      <c r="J31" s="41"/>
      <c r="K31" s="55"/>
    </row>
    <row r="32" spans="2:11" s="23" customFormat="1" x14ac:dyDescent="0.25">
      <c r="B32" s="61">
        <v>45855</v>
      </c>
      <c r="C32" s="62" t="s">
        <v>24</v>
      </c>
      <c r="D32" s="63" t="s">
        <v>235</v>
      </c>
      <c r="E32" s="64">
        <f t="shared" si="5"/>
        <v>45885</v>
      </c>
      <c r="F32" s="107">
        <v>42411468</v>
      </c>
      <c r="G32" s="79" t="s">
        <v>215</v>
      </c>
      <c r="H32" s="68">
        <v>45918</v>
      </c>
      <c r="I32" s="67">
        <f>+B32-H32</f>
        <v>-63</v>
      </c>
      <c r="J32" s="41"/>
      <c r="K32" s="55"/>
    </row>
    <row r="33" spans="1:14" s="23" customFormat="1" ht="17.25" customHeight="1" x14ac:dyDescent="0.25">
      <c r="B33" s="129">
        <v>45869</v>
      </c>
      <c r="C33" s="130" t="s">
        <v>46</v>
      </c>
      <c r="D33" s="63" t="s">
        <v>249</v>
      </c>
      <c r="E33" s="64">
        <f t="shared" si="5"/>
        <v>45899</v>
      </c>
      <c r="F33" s="131">
        <v>-9634719.3100000005</v>
      </c>
      <c r="G33" s="128" t="s">
        <v>250</v>
      </c>
      <c r="H33" s="68" t="s">
        <v>45</v>
      </c>
      <c r="I33" s="67" t="s">
        <v>45</v>
      </c>
      <c r="J33" s="41"/>
      <c r="K33" s="55"/>
    </row>
    <row r="34" spans="1:14" s="23" customFormat="1" ht="15" customHeight="1" x14ac:dyDescent="0.25">
      <c r="B34" s="129">
        <v>45869</v>
      </c>
      <c r="C34" s="62" t="s">
        <v>24</v>
      </c>
      <c r="D34" s="63" t="s">
        <v>251</v>
      </c>
      <c r="E34" s="64">
        <f t="shared" si="5"/>
        <v>45899</v>
      </c>
      <c r="F34" s="131">
        <v>9634719.3100000005</v>
      </c>
      <c r="G34" s="128" t="s">
        <v>252</v>
      </c>
      <c r="H34" s="68">
        <v>45918</v>
      </c>
      <c r="I34" s="67">
        <f>+B34-H34</f>
        <v>-49</v>
      </c>
      <c r="J34" s="41"/>
      <c r="K34" s="55"/>
    </row>
    <row r="35" spans="1:14" s="23" customFormat="1" ht="15" customHeight="1" x14ac:dyDescent="0.25">
      <c r="B35" s="129">
        <v>45869</v>
      </c>
      <c r="C35" s="62" t="s">
        <v>24</v>
      </c>
      <c r="D35" s="63" t="s">
        <v>253</v>
      </c>
      <c r="E35" s="64">
        <f t="shared" si="5"/>
        <v>45899</v>
      </c>
      <c r="F35" s="131">
        <v>988267.5</v>
      </c>
      <c r="G35" s="128" t="s">
        <v>254</v>
      </c>
      <c r="H35" s="68">
        <v>45918</v>
      </c>
      <c r="I35" s="67">
        <f>+B35-H35</f>
        <v>-49</v>
      </c>
      <c r="J35" s="41"/>
      <c r="K35" s="55"/>
    </row>
    <row r="36" spans="1:14" s="23" customFormat="1" ht="15" customHeight="1" x14ac:dyDescent="0.25">
      <c r="B36" s="129">
        <v>45926</v>
      </c>
      <c r="C36" s="62" t="s">
        <v>24</v>
      </c>
      <c r="D36" s="63" t="s">
        <v>278</v>
      </c>
      <c r="E36" s="64">
        <f t="shared" si="5"/>
        <v>45956</v>
      </c>
      <c r="F36" s="131">
        <v>771220.12</v>
      </c>
      <c r="G36" s="128" t="s">
        <v>279</v>
      </c>
      <c r="H36" s="68" t="s">
        <v>45</v>
      </c>
      <c r="I36" s="67" t="s">
        <v>45</v>
      </c>
      <c r="J36" s="41"/>
      <c r="K36" s="55"/>
    </row>
    <row r="37" spans="1:14" s="23" customFormat="1" ht="15" customHeight="1" x14ac:dyDescent="0.25">
      <c r="B37" s="129">
        <v>45946</v>
      </c>
      <c r="C37" s="130" t="s">
        <v>46</v>
      </c>
      <c r="D37" s="63" t="s">
        <v>290</v>
      </c>
      <c r="E37" s="64">
        <f t="shared" si="5"/>
        <v>45976</v>
      </c>
      <c r="F37" s="131">
        <v>-771220.12</v>
      </c>
      <c r="G37" s="128" t="s">
        <v>291</v>
      </c>
      <c r="H37" s="68" t="s">
        <v>45</v>
      </c>
      <c r="I37" s="67" t="s">
        <v>45</v>
      </c>
      <c r="J37" s="41"/>
      <c r="K37" s="55"/>
    </row>
    <row r="38" spans="1:14" s="23" customFormat="1" ht="15" customHeight="1" x14ac:dyDescent="0.25">
      <c r="A38" s="152"/>
      <c r="B38" s="153">
        <v>45946</v>
      </c>
      <c r="C38" s="148" t="s">
        <v>24</v>
      </c>
      <c r="D38" s="149" t="s">
        <v>292</v>
      </c>
      <c r="E38" s="146">
        <v>45976</v>
      </c>
      <c r="F38" s="131">
        <v>807520.12</v>
      </c>
      <c r="G38" s="154" t="s">
        <v>279</v>
      </c>
      <c r="H38" s="151">
        <v>45986</v>
      </c>
      <c r="I38" s="67">
        <f>+B38-H38</f>
        <v>-40</v>
      </c>
      <c r="J38" s="41"/>
      <c r="K38" s="55"/>
    </row>
    <row r="39" spans="1:14" s="152" customFormat="1" ht="15" customHeight="1" x14ac:dyDescent="0.25">
      <c r="B39" s="153">
        <v>45971</v>
      </c>
      <c r="C39" s="148" t="s">
        <v>24</v>
      </c>
      <c r="D39" s="149" t="s">
        <v>309</v>
      </c>
      <c r="E39" s="146">
        <f>+B39+30</f>
        <v>46001</v>
      </c>
      <c r="F39" s="131">
        <v>20104860.27</v>
      </c>
      <c r="G39" s="154" t="s">
        <v>310</v>
      </c>
      <c r="H39" s="151">
        <v>46013</v>
      </c>
      <c r="I39" s="67">
        <f>+B39-H39</f>
        <v>-42</v>
      </c>
      <c r="J39" s="162"/>
      <c r="K39" s="163"/>
    </row>
    <row r="40" spans="1:14" s="23" customFormat="1" ht="15" customHeight="1" x14ac:dyDescent="0.25">
      <c r="B40" s="137"/>
      <c r="D40" s="39"/>
      <c r="E40" s="40"/>
      <c r="F40" s="132"/>
      <c r="G40" s="138"/>
      <c r="H40" s="1"/>
      <c r="I40" s="50"/>
      <c r="J40" s="41"/>
      <c r="K40" s="55"/>
    </row>
    <row r="41" spans="1:14" x14ac:dyDescent="0.25">
      <c r="C41" s="30"/>
      <c r="D41" s="43"/>
      <c r="E41" s="44"/>
      <c r="F41" s="108"/>
      <c r="G41" s="16"/>
      <c r="I41" s="50"/>
      <c r="J41" s="58"/>
      <c r="K41" s="56"/>
      <c r="N41" s="26"/>
    </row>
    <row r="42" spans="1:14" x14ac:dyDescent="0.25">
      <c r="B42" s="174" t="s">
        <v>7</v>
      </c>
      <c r="C42" s="175"/>
      <c r="D42" s="175"/>
      <c r="E42" s="176"/>
      <c r="F42" s="109">
        <v>0</v>
      </c>
      <c r="J42" s="59"/>
      <c r="K42" s="60"/>
      <c r="L42" s="59"/>
    </row>
    <row r="43" spans="1:14" x14ac:dyDescent="0.25">
      <c r="B43" s="174" t="s">
        <v>8</v>
      </c>
      <c r="C43" s="175"/>
      <c r="D43" s="175"/>
      <c r="E43" s="176" t="s">
        <v>9</v>
      </c>
      <c r="F43" s="109">
        <v>0</v>
      </c>
      <c r="G43" s="46"/>
    </row>
    <row r="44" spans="1:14" x14ac:dyDescent="0.25">
      <c r="B44" s="174" t="s">
        <v>10</v>
      </c>
      <c r="C44" s="175"/>
      <c r="D44" s="175"/>
      <c r="E44" s="176" t="s">
        <v>11</v>
      </c>
      <c r="F44" s="109">
        <f>+F42-F43</f>
        <v>0</v>
      </c>
      <c r="G44" s="46"/>
    </row>
    <row r="46" spans="1:14" x14ac:dyDescent="0.25">
      <c r="B46" s="177" t="s">
        <v>12</v>
      </c>
      <c r="C46" s="178"/>
      <c r="D46" s="178"/>
      <c r="E46" s="179"/>
      <c r="F46" s="110">
        <v>0</v>
      </c>
    </row>
    <row r="47" spans="1:14" x14ac:dyDescent="0.25">
      <c r="G47" s="26"/>
    </row>
    <row r="48" spans="1:14" x14ac:dyDescent="0.25">
      <c r="G48" s="33"/>
    </row>
    <row r="49" spans="6:11" x14ac:dyDescent="0.25">
      <c r="F49" s="81"/>
      <c r="G49" s="33"/>
      <c r="I49" s="37"/>
      <c r="J49" s="37"/>
      <c r="K49" s="57"/>
    </row>
    <row r="53" spans="6:11" x14ac:dyDescent="0.25">
      <c r="G53" s="33"/>
    </row>
  </sheetData>
  <mergeCells count="4">
    <mergeCell ref="B42:E42"/>
    <mergeCell ref="B43:E43"/>
    <mergeCell ref="B44:E44"/>
    <mergeCell ref="B46:E4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zoomScaleNormal="100" workbookViewId="0">
      <selection activeCell="F17" sqref="F17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15.85546875" bestFit="1" customWidth="1"/>
    <col min="8" max="8" width="13.42578125" style="1" bestFit="1" customWidth="1"/>
    <col min="9" max="9" width="7.140625" bestFit="1" customWidth="1"/>
    <col min="10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123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45673</v>
      </c>
      <c r="C4" s="62" t="s">
        <v>24</v>
      </c>
      <c r="D4" s="63" t="s">
        <v>124</v>
      </c>
      <c r="E4" s="64">
        <f>+B4+0</f>
        <v>45673</v>
      </c>
      <c r="F4" s="65">
        <v>1500333.45</v>
      </c>
      <c r="G4" s="79" t="s">
        <v>125</v>
      </c>
      <c r="H4" s="68">
        <v>45673</v>
      </c>
      <c r="I4" s="67">
        <f>+B4-H4</f>
        <v>0</v>
      </c>
      <c r="J4" s="49"/>
      <c r="K4" s="54"/>
    </row>
    <row r="5" spans="2:14" s="23" customFormat="1" x14ac:dyDescent="0.25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</row>
    <row r="12" spans="2:14" x14ac:dyDescent="0.25">
      <c r="G12" s="26"/>
    </row>
    <row r="13" spans="2:14" x14ac:dyDescent="0.25">
      <c r="G13" s="33"/>
    </row>
    <row r="14" spans="2:14" x14ac:dyDescent="0.25">
      <c r="I14" s="37"/>
      <c r="J14" s="37"/>
      <c r="K14" s="57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workbookViewId="0">
      <selection activeCell="G12" sqref="G1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0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9" width="11.85546875" bestFit="1" customWidth="1"/>
    <col min="10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91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45513</v>
      </c>
      <c r="C4" s="62" t="s">
        <v>24</v>
      </c>
      <c r="D4" s="180">
        <v>200001338</v>
      </c>
      <c r="E4" s="64">
        <f>+B4+30</f>
        <v>45543</v>
      </c>
      <c r="F4" s="65">
        <v>11417015.209999999</v>
      </c>
      <c r="G4" s="66" t="s">
        <v>92</v>
      </c>
      <c r="H4" s="64">
        <v>45524</v>
      </c>
      <c r="I4" s="67">
        <f>+B4-H4</f>
        <v>-11</v>
      </c>
      <c r="J4" s="49"/>
      <c r="K4" s="54"/>
    </row>
    <row r="5" spans="2:14" s="23" customFormat="1" x14ac:dyDescent="0.25">
      <c r="B5" s="61">
        <v>45513</v>
      </c>
      <c r="C5" s="62" t="s">
        <v>24</v>
      </c>
      <c r="D5" s="181"/>
      <c r="E5" s="64">
        <f>+B5+30</f>
        <v>45543</v>
      </c>
      <c r="F5" s="65">
        <v>11417015.200000001</v>
      </c>
      <c r="G5" s="66" t="s">
        <v>92</v>
      </c>
      <c r="H5" s="64">
        <v>45516</v>
      </c>
      <c r="I5" s="67">
        <f>+B5-H5</f>
        <v>-3</v>
      </c>
      <c r="J5" s="49"/>
      <c r="K5" s="54"/>
    </row>
    <row r="6" spans="2:14" s="23" customFormat="1" x14ac:dyDescent="0.25">
      <c r="B6" s="61">
        <v>45538</v>
      </c>
      <c r="C6" s="62" t="s">
        <v>24</v>
      </c>
      <c r="D6" s="180">
        <v>200001344</v>
      </c>
      <c r="E6" s="64">
        <f>+B6+0</f>
        <v>45538</v>
      </c>
      <c r="F6" s="65">
        <v>2779134.05</v>
      </c>
      <c r="G6" s="66" t="s">
        <v>98</v>
      </c>
      <c r="H6" s="64">
        <v>45545</v>
      </c>
      <c r="I6" s="67">
        <f>+B6-H6</f>
        <v>-7</v>
      </c>
      <c r="J6" s="49"/>
      <c r="K6" s="54"/>
    </row>
    <row r="7" spans="2:14" s="23" customFormat="1" x14ac:dyDescent="0.25">
      <c r="B7" s="61">
        <v>45538</v>
      </c>
      <c r="C7" s="62" t="s">
        <v>24</v>
      </c>
      <c r="D7" s="181"/>
      <c r="E7" s="64">
        <v>45538</v>
      </c>
      <c r="F7" s="65">
        <f>2726193.94+11484.03+41456.08</f>
        <v>2779134.05</v>
      </c>
      <c r="G7" s="66" t="s">
        <v>98</v>
      </c>
      <c r="H7" s="64">
        <v>45540</v>
      </c>
      <c r="I7" s="67">
        <f>+B7-H7</f>
        <v>-2</v>
      </c>
      <c r="J7" s="49"/>
      <c r="K7" s="54"/>
    </row>
    <row r="8" spans="2:14" s="23" customFormat="1" x14ac:dyDescent="0.25">
      <c r="B8" s="61">
        <v>45856</v>
      </c>
      <c r="C8" s="62" t="s">
        <v>24</v>
      </c>
      <c r="D8" s="87">
        <v>200001397</v>
      </c>
      <c r="E8" s="64">
        <f>+B8+30</f>
        <v>45886</v>
      </c>
      <c r="F8" s="65">
        <v>42776989.219999999</v>
      </c>
      <c r="G8" s="66" t="s">
        <v>236</v>
      </c>
      <c r="H8" s="64" t="s">
        <v>295</v>
      </c>
      <c r="I8" s="67"/>
      <c r="J8" s="49"/>
      <c r="K8" s="54"/>
    </row>
    <row r="9" spans="2:14" s="23" customFormat="1" x14ac:dyDescent="0.25">
      <c r="B9" s="38"/>
      <c r="D9" s="39"/>
      <c r="E9" s="40"/>
      <c r="G9" s="42"/>
      <c r="H9" s="40"/>
      <c r="I9" s="50"/>
      <c r="J9" s="41"/>
      <c r="K9" s="55"/>
    </row>
    <row r="10" spans="2:14" x14ac:dyDescent="0.25">
      <c r="C10" s="30"/>
      <c r="D10" s="43"/>
      <c r="E10" s="44"/>
      <c r="F10" s="45"/>
      <c r="G10" s="16"/>
      <c r="I10" s="50"/>
      <c r="J10" s="58"/>
      <c r="K10" s="56"/>
      <c r="N10" s="26"/>
    </row>
    <row r="11" spans="2:14" x14ac:dyDescent="0.25">
      <c r="B11" s="174" t="s">
        <v>7</v>
      </c>
      <c r="C11" s="175"/>
      <c r="D11" s="175"/>
      <c r="E11" s="176"/>
      <c r="F11" s="18">
        <v>0</v>
      </c>
      <c r="G11" s="82"/>
      <c r="I11" s="141"/>
      <c r="J11" s="59"/>
      <c r="K11" s="60"/>
      <c r="L11" s="59"/>
    </row>
    <row r="12" spans="2:14" x14ac:dyDescent="0.25">
      <c r="B12" s="174" t="s">
        <v>8</v>
      </c>
      <c r="C12" s="175"/>
      <c r="D12" s="175"/>
      <c r="E12" s="176" t="s">
        <v>9</v>
      </c>
      <c r="F12" s="18">
        <v>0</v>
      </c>
      <c r="G12" s="46"/>
      <c r="I12" s="141"/>
    </row>
    <row r="13" spans="2:14" x14ac:dyDescent="0.25">
      <c r="B13" s="174" t="s">
        <v>10</v>
      </c>
      <c r="C13" s="175"/>
      <c r="D13" s="175"/>
      <c r="E13" s="176" t="s">
        <v>11</v>
      </c>
      <c r="F13" s="18">
        <f>+F11-F12</f>
        <v>0</v>
      </c>
      <c r="G13" s="46"/>
    </row>
    <row r="14" spans="2:14" x14ac:dyDescent="0.25">
      <c r="F14" s="47"/>
    </row>
    <row r="15" spans="2:14" x14ac:dyDescent="0.25">
      <c r="B15" s="177" t="s">
        <v>12</v>
      </c>
      <c r="C15" s="178"/>
      <c r="D15" s="178"/>
      <c r="E15" s="179"/>
      <c r="F15" s="48">
        <v>0</v>
      </c>
    </row>
    <row r="16" spans="2:14" x14ac:dyDescent="0.25">
      <c r="G16" s="83"/>
    </row>
    <row r="17" spans="5:11" x14ac:dyDescent="0.25">
      <c r="F17" s="83"/>
      <c r="G17" s="83"/>
    </row>
    <row r="18" spans="5:11" x14ac:dyDescent="0.25">
      <c r="E18" s="98"/>
      <c r="F18" s="81"/>
      <c r="G18" s="84"/>
      <c r="I18" s="37"/>
      <c r="J18" s="37"/>
      <c r="K18" s="57"/>
    </row>
    <row r="19" spans="5:11" x14ac:dyDescent="0.25">
      <c r="E19" s="82"/>
      <c r="F19" s="80"/>
      <c r="G19" s="80"/>
    </row>
    <row r="20" spans="5:11" x14ac:dyDescent="0.25">
      <c r="E20" s="82"/>
      <c r="F20" s="80"/>
      <c r="G20" s="80"/>
    </row>
    <row r="21" spans="5:11" x14ac:dyDescent="0.25">
      <c r="E21" s="99"/>
      <c r="F21" s="80"/>
    </row>
    <row r="22" spans="5:11" x14ac:dyDescent="0.25">
      <c r="F22" s="80"/>
    </row>
  </sheetData>
  <mergeCells count="6">
    <mergeCell ref="B11:E11"/>
    <mergeCell ref="B12:E12"/>
    <mergeCell ref="B13:E13"/>
    <mergeCell ref="B15:E15"/>
    <mergeCell ref="D4:D5"/>
    <mergeCell ref="D6:D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F12" sqref="F1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330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152" customFormat="1" x14ac:dyDescent="0.25">
      <c r="B4" s="143">
        <v>46030</v>
      </c>
      <c r="C4" s="148" t="s">
        <v>24</v>
      </c>
      <c r="D4" s="145" t="s">
        <v>331</v>
      </c>
      <c r="E4" s="146">
        <f>+B4+30</f>
        <v>46060</v>
      </c>
      <c r="F4" s="65">
        <v>2292780.6</v>
      </c>
      <c r="G4" s="147" t="s">
        <v>332</v>
      </c>
      <c r="H4" s="146">
        <v>46031</v>
      </c>
      <c r="I4" s="67">
        <f>+B4-H4</f>
        <v>-1</v>
      </c>
      <c r="J4" s="49"/>
      <c r="K4" s="54"/>
    </row>
    <row r="5" spans="2:14" s="23" customFormat="1" x14ac:dyDescent="0.25">
      <c r="B5" s="38"/>
      <c r="D5" s="39"/>
      <c r="E5" s="40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</row>
    <row r="12" spans="2:14" x14ac:dyDescent="0.25">
      <c r="G12" s="83"/>
    </row>
    <row r="13" spans="2:14" x14ac:dyDescent="0.25">
      <c r="F13" s="83"/>
      <c r="G13" s="83"/>
    </row>
    <row r="14" spans="2:14" x14ac:dyDescent="0.25">
      <c r="E14" s="98"/>
      <c r="F14" s="81"/>
      <c r="G14" s="84"/>
      <c r="I14" s="37"/>
      <c r="J14" s="37"/>
      <c r="K14" s="57"/>
    </row>
    <row r="15" spans="2:14" x14ac:dyDescent="0.25">
      <c r="E15" s="82"/>
      <c r="F15" s="80"/>
      <c r="G15" s="80"/>
    </row>
    <row r="16" spans="2:14" x14ac:dyDescent="0.25">
      <c r="E16" s="82"/>
      <c r="F16" s="80"/>
      <c r="G16" s="80"/>
    </row>
    <row r="17" spans="5:6" x14ac:dyDescent="0.25">
      <c r="E17" s="99"/>
      <c r="F17" s="80"/>
    </row>
    <row r="18" spans="5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F12" sqref="F1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0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317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152" customFormat="1" x14ac:dyDescent="0.25">
      <c r="B4" s="143">
        <v>45992</v>
      </c>
      <c r="C4" s="148" t="s">
        <v>24</v>
      </c>
      <c r="D4" s="145">
        <v>200001437</v>
      </c>
      <c r="E4" s="146">
        <f>+B4+30</f>
        <v>46022</v>
      </c>
      <c r="F4" s="65">
        <v>4283400</v>
      </c>
      <c r="G4" s="147" t="s">
        <v>318</v>
      </c>
      <c r="H4" s="146">
        <v>46006</v>
      </c>
      <c r="I4" s="67">
        <f>+B4-H4</f>
        <v>-14</v>
      </c>
      <c r="J4" s="49"/>
      <c r="K4" s="54"/>
    </row>
    <row r="5" spans="2:14" s="23" customFormat="1" x14ac:dyDescent="0.25">
      <c r="B5" s="38"/>
      <c r="D5" s="39"/>
      <c r="E5" s="40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</row>
    <row r="12" spans="2:14" x14ac:dyDescent="0.25">
      <c r="G12" s="83"/>
    </row>
    <row r="13" spans="2:14" x14ac:dyDescent="0.25">
      <c r="F13" s="83"/>
      <c r="G13" s="83"/>
    </row>
    <row r="14" spans="2:14" x14ac:dyDescent="0.25">
      <c r="E14" s="98"/>
      <c r="F14" s="81"/>
      <c r="G14" s="84"/>
      <c r="I14" s="37"/>
      <c r="J14" s="37"/>
      <c r="K14" s="57"/>
    </row>
    <row r="15" spans="2:14" x14ac:dyDescent="0.25">
      <c r="E15" s="82"/>
      <c r="F15" s="80"/>
      <c r="G15" s="80"/>
    </row>
    <row r="16" spans="2:14" x14ac:dyDescent="0.25">
      <c r="E16" s="82"/>
      <c r="F16" s="80"/>
      <c r="G16" s="80"/>
    </row>
    <row r="17" spans="5:6" x14ac:dyDescent="0.25">
      <c r="E17" s="99"/>
      <c r="F17" s="80"/>
    </row>
    <row r="18" spans="5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F12" sqref="F1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0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237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45856</v>
      </c>
      <c r="C4" s="62" t="s">
        <v>24</v>
      </c>
      <c r="D4" s="87">
        <v>200001398</v>
      </c>
      <c r="E4" s="64">
        <f>+B4+30</f>
        <v>45886</v>
      </c>
      <c r="F4" s="65">
        <v>1748371.35</v>
      </c>
      <c r="G4" s="66" t="s">
        <v>238</v>
      </c>
      <c r="H4" s="64">
        <v>45859</v>
      </c>
      <c r="I4" s="67">
        <f>+B4-E4</f>
        <v>-30</v>
      </c>
      <c r="J4" s="49"/>
      <c r="K4" s="54"/>
    </row>
    <row r="5" spans="2:14" s="23" customFormat="1" x14ac:dyDescent="0.25">
      <c r="B5" s="38"/>
      <c r="D5" s="39"/>
      <c r="E5" s="40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</row>
    <row r="12" spans="2:14" x14ac:dyDescent="0.25">
      <c r="G12" s="83"/>
    </row>
    <row r="13" spans="2:14" x14ac:dyDescent="0.25">
      <c r="F13" s="83"/>
      <c r="G13" s="83"/>
    </row>
    <row r="14" spans="2:14" x14ac:dyDescent="0.25">
      <c r="E14" s="98"/>
      <c r="F14" s="81"/>
      <c r="G14" s="84"/>
      <c r="I14" s="37"/>
      <c r="J14" s="37"/>
      <c r="K14" s="57"/>
    </row>
    <row r="15" spans="2:14" x14ac:dyDescent="0.25">
      <c r="E15" s="82"/>
      <c r="F15" s="80"/>
      <c r="G15" s="80"/>
    </row>
    <row r="16" spans="2:14" x14ac:dyDescent="0.25">
      <c r="E16" s="82"/>
      <c r="F16" s="80"/>
      <c r="G16" s="80"/>
    </row>
    <row r="17" spans="5:6" x14ac:dyDescent="0.25">
      <c r="E17" s="99"/>
      <c r="F17" s="80"/>
    </row>
    <row r="18" spans="5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G14" sqref="G14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0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266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45897</v>
      </c>
      <c r="C4" s="62" t="s">
        <v>24</v>
      </c>
      <c r="D4" s="87">
        <v>200001406</v>
      </c>
      <c r="E4" s="64">
        <f>+B4+30</f>
        <v>45927</v>
      </c>
      <c r="F4" s="65">
        <v>2640027.61</v>
      </c>
      <c r="G4" s="66" t="s">
        <v>267</v>
      </c>
      <c r="H4" s="64">
        <v>45903</v>
      </c>
      <c r="I4" s="67">
        <f>+B4-H4</f>
        <v>-6</v>
      </c>
      <c r="J4" s="49"/>
      <c r="K4" s="54"/>
    </row>
    <row r="5" spans="2:14" s="23" customFormat="1" x14ac:dyDescent="0.25">
      <c r="B5" s="38"/>
      <c r="D5" s="39"/>
      <c r="E5" s="40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f>+F4</f>
        <v>2640027.61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-2640027.61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</row>
    <row r="12" spans="2:14" x14ac:dyDescent="0.25">
      <c r="G12" s="83"/>
    </row>
    <row r="13" spans="2:14" x14ac:dyDescent="0.25">
      <c r="F13" s="83"/>
      <c r="G13" s="83"/>
    </row>
    <row r="14" spans="2:14" x14ac:dyDescent="0.25">
      <c r="E14" s="98"/>
      <c r="F14" s="81"/>
      <c r="G14" s="84"/>
      <c r="I14" s="37"/>
      <c r="J14" s="37"/>
      <c r="K14" s="57"/>
    </row>
    <row r="15" spans="2:14" x14ac:dyDescent="0.25">
      <c r="E15" s="82"/>
      <c r="F15" s="80"/>
      <c r="G15" s="80"/>
    </row>
    <row r="16" spans="2:14" x14ac:dyDescent="0.25">
      <c r="E16" s="82"/>
      <c r="F16" s="80"/>
      <c r="G16" s="80"/>
    </row>
    <row r="17" spans="5:6" x14ac:dyDescent="0.25">
      <c r="E17" s="99"/>
      <c r="F17" s="80"/>
    </row>
    <row r="18" spans="5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showGridLines="0" workbookViewId="0">
      <selection activeCell="F14" sqref="F14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0.8554687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168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45775</v>
      </c>
      <c r="C4" s="62" t="s">
        <v>24</v>
      </c>
      <c r="D4" s="104" t="s">
        <v>169</v>
      </c>
      <c r="E4" s="64">
        <f>+B4+5</f>
        <v>45780</v>
      </c>
      <c r="F4" s="65">
        <v>4235000</v>
      </c>
      <c r="G4" s="66" t="s">
        <v>170</v>
      </c>
      <c r="H4" s="64">
        <v>45835</v>
      </c>
      <c r="I4" s="67">
        <f>+B4-H4</f>
        <v>-60</v>
      </c>
      <c r="J4" s="49"/>
      <c r="K4" s="54"/>
    </row>
    <row r="5" spans="2:14" s="23" customFormat="1" x14ac:dyDescent="0.25">
      <c r="B5" s="61">
        <v>45798</v>
      </c>
      <c r="C5" s="62" t="s">
        <v>24</v>
      </c>
      <c r="D5" s="104" t="s">
        <v>178</v>
      </c>
      <c r="E5" s="64">
        <v>45798</v>
      </c>
      <c r="F5" s="65">
        <v>35368393.060000002</v>
      </c>
      <c r="G5" s="66" t="s">
        <v>179</v>
      </c>
      <c r="H5" s="64">
        <v>45939</v>
      </c>
      <c r="I5" s="67">
        <f>+B5-H5</f>
        <v>-141</v>
      </c>
      <c r="J5" s="41"/>
      <c r="K5" s="55"/>
    </row>
    <row r="6" spans="2:14" s="152" customFormat="1" x14ac:dyDescent="0.25">
      <c r="B6" s="143">
        <v>45957</v>
      </c>
      <c r="C6" s="148" t="s">
        <v>24</v>
      </c>
      <c r="D6" s="166" t="s">
        <v>300</v>
      </c>
      <c r="E6" s="146">
        <v>45957</v>
      </c>
      <c r="F6" s="65">
        <v>394763.71</v>
      </c>
      <c r="G6" s="147" t="s">
        <v>289</v>
      </c>
      <c r="H6" s="146">
        <v>46020</v>
      </c>
      <c r="I6" s="67">
        <f>+B6-H6</f>
        <v>-63</v>
      </c>
      <c r="J6" s="162"/>
      <c r="K6" s="163"/>
    </row>
    <row r="7" spans="2:14" s="23" customFormat="1" x14ac:dyDescent="0.25">
      <c r="B7" s="38"/>
      <c r="D7" s="142"/>
      <c r="E7" s="40"/>
      <c r="F7" s="13"/>
      <c r="G7" s="42"/>
      <c r="H7" s="40"/>
      <c r="I7" s="50"/>
      <c r="J7" s="41"/>
      <c r="K7" s="55"/>
    </row>
    <row r="8" spans="2:14" x14ac:dyDescent="0.25">
      <c r="C8" s="30"/>
      <c r="D8" s="43"/>
      <c r="E8" s="44"/>
      <c r="F8" s="45"/>
      <c r="G8" s="16"/>
      <c r="I8" s="50"/>
      <c r="J8" s="58"/>
      <c r="K8" s="56"/>
      <c r="N8" s="26"/>
    </row>
    <row r="9" spans="2:14" x14ac:dyDescent="0.25">
      <c r="B9" s="174" t="s">
        <v>7</v>
      </c>
      <c r="C9" s="175"/>
      <c r="D9" s="175"/>
      <c r="E9" s="176"/>
      <c r="F9" s="18">
        <v>0</v>
      </c>
      <c r="G9" s="82"/>
      <c r="J9" s="59"/>
      <c r="K9" s="60"/>
      <c r="L9" s="59"/>
    </row>
    <row r="10" spans="2:14" x14ac:dyDescent="0.25">
      <c r="B10" s="174" t="s">
        <v>8</v>
      </c>
      <c r="C10" s="175"/>
      <c r="D10" s="175"/>
      <c r="E10" s="176" t="s">
        <v>9</v>
      </c>
      <c r="F10" s="18">
        <f>+F4+F5+F6</f>
        <v>39998156.770000003</v>
      </c>
      <c r="G10" s="46"/>
    </row>
    <row r="11" spans="2:14" x14ac:dyDescent="0.25">
      <c r="B11" s="174" t="s">
        <v>10</v>
      </c>
      <c r="C11" s="175"/>
      <c r="D11" s="175"/>
      <c r="E11" s="176" t="s">
        <v>11</v>
      </c>
      <c r="F11" s="18">
        <f>+F9-F10</f>
        <v>-39998156.770000003</v>
      </c>
      <c r="G11" s="46"/>
    </row>
    <row r="12" spans="2:14" x14ac:dyDescent="0.25">
      <c r="F12" s="47"/>
    </row>
    <row r="13" spans="2:14" x14ac:dyDescent="0.25">
      <c r="B13" s="177" t="s">
        <v>12</v>
      </c>
      <c r="C13" s="178"/>
      <c r="D13" s="178"/>
      <c r="E13" s="179"/>
      <c r="F13" s="48">
        <v>0</v>
      </c>
    </row>
    <row r="14" spans="2:14" x14ac:dyDescent="0.25">
      <c r="G14" s="83"/>
    </row>
    <row r="15" spans="2:14" x14ac:dyDescent="0.25">
      <c r="E15" s="98"/>
      <c r="F15" s="81"/>
      <c r="G15" s="84"/>
      <c r="I15" s="37"/>
      <c r="J15" s="37"/>
      <c r="K15" s="57"/>
    </row>
    <row r="16" spans="2:14" x14ac:dyDescent="0.25">
      <c r="E16" s="82"/>
      <c r="F16" s="80"/>
      <c r="G16" s="80"/>
    </row>
    <row r="17" spans="5:7" x14ac:dyDescent="0.25">
      <c r="E17" s="82"/>
      <c r="F17" s="80"/>
      <c r="G17" s="80"/>
    </row>
    <row r="18" spans="5:7" x14ac:dyDescent="0.25">
      <c r="E18" s="99"/>
      <c r="F18" s="80"/>
    </row>
    <row r="19" spans="5:7" x14ac:dyDescent="0.25">
      <c r="F19" s="80"/>
    </row>
  </sheetData>
  <mergeCells count="4">
    <mergeCell ref="B9:E9"/>
    <mergeCell ref="B10:E10"/>
    <mergeCell ref="B11:E11"/>
    <mergeCell ref="B13:E1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workbookViewId="0">
      <selection activeCell="F16" sqref="F16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140625" style="100" bestFit="1" customWidth="1"/>
    <col min="5" max="5" width="11.42578125" style="3" bestFit="1" customWidth="1"/>
    <col min="6" max="6" width="15" style="37" customWidth="1"/>
    <col min="7" max="7" width="3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84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45492</v>
      </c>
      <c r="C4" s="62" t="s">
        <v>24</v>
      </c>
      <c r="D4" s="101">
        <v>200000312</v>
      </c>
      <c r="E4" s="64">
        <f>+B4+0</f>
        <v>45492</v>
      </c>
      <c r="F4" s="65">
        <v>570429.09</v>
      </c>
      <c r="G4" s="66" t="s">
        <v>85</v>
      </c>
      <c r="H4" s="64">
        <v>45498</v>
      </c>
      <c r="I4" s="67">
        <f>+B4-H4</f>
        <v>-6</v>
      </c>
      <c r="J4" s="49"/>
      <c r="K4" s="54"/>
    </row>
    <row r="5" spans="2:14" s="23" customFormat="1" x14ac:dyDescent="0.25">
      <c r="B5" s="61">
        <v>45573</v>
      </c>
      <c r="C5" s="62" t="s">
        <v>24</v>
      </c>
      <c r="D5" s="101">
        <v>200000318</v>
      </c>
      <c r="E5" s="64">
        <f>+B5+30</f>
        <v>45603</v>
      </c>
      <c r="F5" s="65">
        <v>1176985</v>
      </c>
      <c r="G5" s="66" t="s">
        <v>103</v>
      </c>
      <c r="H5" s="64">
        <v>45579</v>
      </c>
      <c r="I5" s="67">
        <f>+B5-H5</f>
        <v>-6</v>
      </c>
      <c r="J5" s="49"/>
      <c r="K5" s="54"/>
    </row>
    <row r="6" spans="2:14" s="23" customFormat="1" x14ac:dyDescent="0.25">
      <c r="B6" s="61">
        <v>45621</v>
      </c>
      <c r="C6" s="62" t="s">
        <v>24</v>
      </c>
      <c r="D6" s="101" t="s">
        <v>108</v>
      </c>
      <c r="E6" s="64">
        <f>+B6+0</f>
        <v>45621</v>
      </c>
      <c r="F6" s="65">
        <v>3870363</v>
      </c>
      <c r="G6" s="66" t="s">
        <v>109</v>
      </c>
      <c r="H6" s="64" t="s">
        <v>45</v>
      </c>
      <c r="I6" s="86" t="s">
        <v>45</v>
      </c>
      <c r="J6" s="49"/>
      <c r="K6" s="54"/>
    </row>
    <row r="7" spans="2:14" s="23" customFormat="1" x14ac:dyDescent="0.25">
      <c r="B7" s="61">
        <v>45623</v>
      </c>
      <c r="C7" s="62" t="s">
        <v>46</v>
      </c>
      <c r="D7" s="101" t="s">
        <v>110</v>
      </c>
      <c r="E7" s="64">
        <f t="shared" ref="E7:E8" si="0">+B7+0</f>
        <v>45623</v>
      </c>
      <c r="F7" s="65">
        <v>-3870363</v>
      </c>
      <c r="G7" s="66"/>
      <c r="H7" s="64" t="s">
        <v>45</v>
      </c>
      <c r="I7" s="86" t="s">
        <v>45</v>
      </c>
      <c r="J7" s="49"/>
      <c r="K7" s="54"/>
    </row>
    <row r="8" spans="2:14" s="23" customFormat="1" x14ac:dyDescent="0.25">
      <c r="B8" s="61">
        <v>45623</v>
      </c>
      <c r="C8" s="62" t="s">
        <v>24</v>
      </c>
      <c r="D8" s="101" t="s">
        <v>111</v>
      </c>
      <c r="E8" s="64">
        <f t="shared" si="0"/>
        <v>45623</v>
      </c>
      <c r="F8" s="65">
        <v>3870363</v>
      </c>
      <c r="G8" s="66" t="s">
        <v>109</v>
      </c>
      <c r="H8" s="64">
        <v>45630</v>
      </c>
      <c r="I8" s="67">
        <f>+B8-H8</f>
        <v>-7</v>
      </c>
      <c r="J8" s="49"/>
      <c r="K8" s="54"/>
    </row>
    <row r="9" spans="2:14" s="23" customFormat="1" x14ac:dyDescent="0.25">
      <c r="B9" s="38"/>
      <c r="D9" s="102"/>
      <c r="E9" s="40"/>
      <c r="F9" s="13"/>
      <c r="G9" s="42"/>
      <c r="H9" s="40"/>
      <c r="I9" s="50"/>
      <c r="J9" s="41"/>
      <c r="K9" s="55"/>
    </row>
    <row r="10" spans="2:14" x14ac:dyDescent="0.25">
      <c r="C10" s="30"/>
      <c r="D10" s="11"/>
      <c r="E10" s="44"/>
      <c r="F10" s="45"/>
      <c r="G10" s="16"/>
      <c r="I10" s="50"/>
      <c r="J10" s="58"/>
      <c r="K10" s="56"/>
      <c r="N10" s="26"/>
    </row>
    <row r="11" spans="2:14" x14ac:dyDescent="0.25">
      <c r="B11" s="174" t="s">
        <v>7</v>
      </c>
      <c r="C11" s="175"/>
      <c r="D11" s="175"/>
      <c r="E11" s="176"/>
      <c r="F11" s="18">
        <v>0</v>
      </c>
      <c r="G11" s="82"/>
      <c r="J11" s="59"/>
      <c r="K11" s="60"/>
      <c r="L11" s="59"/>
    </row>
    <row r="12" spans="2:14" x14ac:dyDescent="0.25">
      <c r="B12" s="174" t="s">
        <v>8</v>
      </c>
      <c r="C12" s="175"/>
      <c r="D12" s="175"/>
      <c r="E12" s="176" t="s">
        <v>9</v>
      </c>
      <c r="F12" s="18">
        <v>0</v>
      </c>
      <c r="G12" s="46"/>
    </row>
    <row r="13" spans="2:14" x14ac:dyDescent="0.25">
      <c r="B13" s="174" t="s">
        <v>10</v>
      </c>
      <c r="C13" s="175"/>
      <c r="D13" s="175"/>
      <c r="E13" s="176" t="s">
        <v>11</v>
      </c>
      <c r="F13" s="18">
        <f>+F11-F12</f>
        <v>0</v>
      </c>
      <c r="G13" s="46"/>
    </row>
    <row r="14" spans="2:14" x14ac:dyDescent="0.25">
      <c r="F14" s="47"/>
    </row>
    <row r="15" spans="2:14" x14ac:dyDescent="0.25">
      <c r="B15" s="177" t="s">
        <v>12</v>
      </c>
      <c r="C15" s="178"/>
      <c r="D15" s="178"/>
      <c r="E15" s="179"/>
      <c r="F15" s="48">
        <v>0</v>
      </c>
      <c r="G15" s="83"/>
    </row>
    <row r="16" spans="2:14" x14ac:dyDescent="0.25">
      <c r="G16" s="83"/>
    </row>
    <row r="17" spans="6:11" x14ac:dyDescent="0.25">
      <c r="F17" s="80"/>
      <c r="G17" s="83"/>
    </row>
    <row r="18" spans="6:11" x14ac:dyDescent="0.25">
      <c r="F18" s="81"/>
      <c r="G18" s="84"/>
      <c r="I18" s="37"/>
      <c r="J18" s="37"/>
      <c r="K18" s="57"/>
    </row>
    <row r="19" spans="6:11" x14ac:dyDescent="0.25">
      <c r="F19" s="80"/>
    </row>
    <row r="20" spans="6:11" x14ac:dyDescent="0.25">
      <c r="F20" s="80"/>
    </row>
    <row r="21" spans="6:11" x14ac:dyDescent="0.25">
      <c r="F21" s="80"/>
    </row>
    <row r="22" spans="6:11" x14ac:dyDescent="0.25">
      <c r="F22" s="80"/>
    </row>
  </sheetData>
  <mergeCells count="4">
    <mergeCell ref="B11:E11"/>
    <mergeCell ref="B12:E12"/>
    <mergeCell ref="B13:E13"/>
    <mergeCell ref="B15:E15"/>
  </mergeCells>
  <pageMargins left="0.7" right="0.7" top="0.75" bottom="0.75" header="0.3" footer="0.3"/>
  <pageSetup paperSize="9" orientation="portrait" horizontalDpi="4294967293" verticalDpi="4294967293" r:id="rId1"/>
  <ignoredErrors>
    <ignoredError sqref="E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showGridLines="0" topLeftCell="A13" workbookViewId="0">
      <selection activeCell="G22" sqref="G2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140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1" ht="15.75" x14ac:dyDescent="0.25">
      <c r="B1" s="35" t="s">
        <v>86</v>
      </c>
    </row>
    <row r="3" spans="2:11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5">
      <c r="B4" s="61">
        <v>45503</v>
      </c>
      <c r="C4" s="62" t="s">
        <v>24</v>
      </c>
      <c r="D4" s="94">
        <v>200000313</v>
      </c>
      <c r="E4" s="64">
        <f t="shared" ref="E4:E11" si="0">+B4+30</f>
        <v>45533</v>
      </c>
      <c r="F4" s="65">
        <v>9382364.1999999993</v>
      </c>
      <c r="G4" s="66" t="s">
        <v>87</v>
      </c>
      <c r="H4" s="64">
        <v>45511</v>
      </c>
      <c r="I4" s="67">
        <f>+B4-H4</f>
        <v>-8</v>
      </c>
      <c r="J4" s="49"/>
      <c r="K4" s="54"/>
    </row>
    <row r="5" spans="2:11" s="23" customFormat="1" x14ac:dyDescent="0.25">
      <c r="B5" s="61">
        <v>45518</v>
      </c>
      <c r="C5" s="62" t="s">
        <v>24</v>
      </c>
      <c r="D5" s="94">
        <v>200000314</v>
      </c>
      <c r="E5" s="64">
        <f t="shared" si="0"/>
        <v>45548</v>
      </c>
      <c r="F5" s="65">
        <v>1642817</v>
      </c>
      <c r="G5" s="66" t="s">
        <v>93</v>
      </c>
      <c r="H5" s="64">
        <v>45534</v>
      </c>
      <c r="I5" s="67">
        <f t="shared" ref="I5:I8" si="1">+B5-H5</f>
        <v>-16</v>
      </c>
      <c r="J5" s="49"/>
      <c r="K5" s="54"/>
    </row>
    <row r="6" spans="2:11" s="23" customFormat="1" x14ac:dyDescent="0.25">
      <c r="B6" s="61">
        <v>45531</v>
      </c>
      <c r="C6" s="62" t="s">
        <v>24</v>
      </c>
      <c r="D6" s="94">
        <v>200000316</v>
      </c>
      <c r="E6" s="64">
        <f t="shared" si="0"/>
        <v>45561</v>
      </c>
      <c r="F6" s="65">
        <v>1417658.99</v>
      </c>
      <c r="G6" s="66" t="s">
        <v>97</v>
      </c>
      <c r="H6" s="64">
        <v>45548</v>
      </c>
      <c r="I6" s="67">
        <f t="shared" si="1"/>
        <v>-17</v>
      </c>
      <c r="J6" s="49"/>
      <c r="K6" s="54"/>
    </row>
    <row r="7" spans="2:11" s="23" customFormat="1" x14ac:dyDescent="0.25">
      <c r="B7" s="61">
        <v>45559</v>
      </c>
      <c r="C7" s="62" t="s">
        <v>24</v>
      </c>
      <c r="D7" s="180">
        <v>200000317</v>
      </c>
      <c r="E7" s="64">
        <f t="shared" si="0"/>
        <v>45589</v>
      </c>
      <c r="F7" s="65">
        <v>20000000.000000004</v>
      </c>
      <c r="G7" s="66" t="s">
        <v>100</v>
      </c>
      <c r="H7" s="64">
        <v>45602</v>
      </c>
      <c r="I7" s="67">
        <f>+B7-H7</f>
        <v>-43</v>
      </c>
      <c r="J7" s="49"/>
      <c r="K7" s="54"/>
    </row>
    <row r="8" spans="2:11" s="23" customFormat="1" x14ac:dyDescent="0.25">
      <c r="B8" s="61">
        <v>45559</v>
      </c>
      <c r="C8" s="62" t="s">
        <v>24</v>
      </c>
      <c r="D8" s="181"/>
      <c r="E8" s="64">
        <f t="shared" si="0"/>
        <v>45589</v>
      </c>
      <c r="F8" s="65">
        <v>20541774.489999998</v>
      </c>
      <c r="G8" s="66" t="s">
        <v>100</v>
      </c>
      <c r="H8" s="64">
        <v>45579</v>
      </c>
      <c r="I8" s="67">
        <f t="shared" si="1"/>
        <v>-20</v>
      </c>
      <c r="J8" s="49"/>
      <c r="K8" s="54"/>
    </row>
    <row r="9" spans="2:11" s="23" customFormat="1" x14ac:dyDescent="0.25">
      <c r="B9" s="61">
        <v>45722</v>
      </c>
      <c r="C9" s="62" t="s">
        <v>24</v>
      </c>
      <c r="D9" s="87" t="s">
        <v>146</v>
      </c>
      <c r="E9" s="64">
        <f t="shared" si="0"/>
        <v>45752</v>
      </c>
      <c r="F9" s="65">
        <v>7018911</v>
      </c>
      <c r="G9" s="66" t="s">
        <v>147</v>
      </c>
      <c r="H9" s="64" t="s">
        <v>45</v>
      </c>
      <c r="I9" s="86" t="s">
        <v>45</v>
      </c>
      <c r="J9" s="49"/>
      <c r="K9" s="54"/>
    </row>
    <row r="10" spans="2:11" s="23" customFormat="1" x14ac:dyDescent="0.25">
      <c r="B10" s="61">
        <v>45723</v>
      </c>
      <c r="C10" s="62" t="s">
        <v>46</v>
      </c>
      <c r="D10" s="87" t="s">
        <v>148</v>
      </c>
      <c r="E10" s="64">
        <f t="shared" si="0"/>
        <v>45753</v>
      </c>
      <c r="F10" s="65">
        <v>-7018911</v>
      </c>
      <c r="G10" s="66" t="s">
        <v>147</v>
      </c>
      <c r="H10" s="64" t="s">
        <v>45</v>
      </c>
      <c r="I10" s="86" t="s">
        <v>45</v>
      </c>
      <c r="J10" s="49"/>
      <c r="K10" s="54"/>
    </row>
    <row r="11" spans="2:11" s="23" customFormat="1" x14ac:dyDescent="0.25">
      <c r="B11" s="61">
        <v>45723</v>
      </c>
      <c r="C11" s="62" t="s">
        <v>24</v>
      </c>
      <c r="D11" s="87" t="s">
        <v>149</v>
      </c>
      <c r="E11" s="64">
        <f t="shared" si="0"/>
        <v>45753</v>
      </c>
      <c r="F11" s="65">
        <v>8492882.3100000005</v>
      </c>
      <c r="G11" s="66" t="s">
        <v>147</v>
      </c>
      <c r="H11" s="64">
        <v>45785</v>
      </c>
      <c r="I11" s="67">
        <f>+B11-H11</f>
        <v>-62</v>
      </c>
      <c r="J11" s="49"/>
      <c r="K11" s="54"/>
    </row>
    <row r="12" spans="2:11" s="23" customFormat="1" x14ac:dyDescent="0.25">
      <c r="B12" s="61">
        <v>45813</v>
      </c>
      <c r="C12" s="62" t="s">
        <v>24</v>
      </c>
      <c r="D12" s="87" t="s">
        <v>188</v>
      </c>
      <c r="E12" s="64">
        <v>45813</v>
      </c>
      <c r="F12" s="65">
        <v>20551909.899999999</v>
      </c>
      <c r="G12" s="66" t="s">
        <v>189</v>
      </c>
      <c r="H12" s="64">
        <v>45817</v>
      </c>
      <c r="I12" s="67">
        <f>+B12-H12</f>
        <v>-4</v>
      </c>
      <c r="J12" s="49"/>
      <c r="K12" s="54"/>
    </row>
    <row r="13" spans="2:11" s="23" customFormat="1" x14ac:dyDescent="0.25">
      <c r="B13" s="61">
        <v>45849</v>
      </c>
      <c r="C13" s="62" t="s">
        <v>24</v>
      </c>
      <c r="D13" s="87" t="s">
        <v>229</v>
      </c>
      <c r="E13" s="64">
        <f t="shared" ref="E13:E18" si="2">+B13+30</f>
        <v>45879</v>
      </c>
      <c r="F13" s="65">
        <v>3953308</v>
      </c>
      <c r="G13" s="66" t="s">
        <v>228</v>
      </c>
      <c r="H13" s="64" t="s">
        <v>45</v>
      </c>
      <c r="I13" s="67" t="s">
        <v>45</v>
      </c>
      <c r="J13" s="49"/>
      <c r="K13" s="54"/>
    </row>
    <row r="14" spans="2:11" s="23" customFormat="1" x14ac:dyDescent="0.25">
      <c r="B14" s="61">
        <v>45849</v>
      </c>
      <c r="C14" s="62" t="s">
        <v>46</v>
      </c>
      <c r="D14" s="87" t="s">
        <v>230</v>
      </c>
      <c r="E14" s="64">
        <f t="shared" si="2"/>
        <v>45879</v>
      </c>
      <c r="F14" s="65">
        <v>-3953308</v>
      </c>
      <c r="G14" s="66" t="s">
        <v>228</v>
      </c>
      <c r="H14" s="64" t="s">
        <v>45</v>
      </c>
      <c r="I14" s="67" t="s">
        <v>45</v>
      </c>
      <c r="J14" s="49"/>
      <c r="K14" s="54"/>
    </row>
    <row r="15" spans="2:11" s="23" customFormat="1" x14ac:dyDescent="0.25">
      <c r="B15" s="61">
        <v>45852</v>
      </c>
      <c r="C15" s="62" t="s">
        <v>24</v>
      </c>
      <c r="D15" s="87" t="s">
        <v>231</v>
      </c>
      <c r="E15" s="64">
        <f t="shared" si="2"/>
        <v>45882</v>
      </c>
      <c r="F15" s="65">
        <v>4783502.68</v>
      </c>
      <c r="G15" s="66" t="s">
        <v>228</v>
      </c>
      <c r="H15" s="64">
        <v>45897</v>
      </c>
      <c r="I15" s="67">
        <f>+B15-H15</f>
        <v>-45</v>
      </c>
      <c r="J15" s="49"/>
      <c r="K15" s="54"/>
    </row>
    <row r="16" spans="2:11" s="23" customFormat="1" x14ac:dyDescent="0.25">
      <c r="B16" s="61">
        <v>45859</v>
      </c>
      <c r="C16" s="62" t="s">
        <v>24</v>
      </c>
      <c r="D16" s="87" t="s">
        <v>247</v>
      </c>
      <c r="E16" s="64">
        <f t="shared" si="2"/>
        <v>45889</v>
      </c>
      <c r="F16" s="65">
        <v>3795836.55</v>
      </c>
      <c r="G16" s="133" t="s">
        <v>248</v>
      </c>
      <c r="H16" s="64">
        <v>45880</v>
      </c>
      <c r="I16" s="67">
        <f>+B16-H16</f>
        <v>-21</v>
      </c>
      <c r="J16" s="49"/>
      <c r="K16" s="54"/>
    </row>
    <row r="17" spans="2:14" s="23" customFormat="1" x14ac:dyDescent="0.25">
      <c r="B17" s="61">
        <v>45881</v>
      </c>
      <c r="C17" s="62" t="s">
        <v>24</v>
      </c>
      <c r="D17" s="87" t="s">
        <v>261</v>
      </c>
      <c r="E17" s="64">
        <f t="shared" si="2"/>
        <v>45911</v>
      </c>
      <c r="F17" s="65">
        <v>305780.31</v>
      </c>
      <c r="G17" s="133" t="s">
        <v>262</v>
      </c>
      <c r="H17" s="64" t="s">
        <v>45</v>
      </c>
      <c r="I17" s="67" t="s">
        <v>45</v>
      </c>
      <c r="J17" s="49"/>
      <c r="K17" s="54"/>
    </row>
    <row r="18" spans="2:14" s="23" customFormat="1" x14ac:dyDescent="0.25">
      <c r="B18" s="61">
        <v>45881</v>
      </c>
      <c r="C18" s="62" t="s">
        <v>46</v>
      </c>
      <c r="D18" s="87" t="s">
        <v>263</v>
      </c>
      <c r="E18" s="64">
        <f t="shared" si="2"/>
        <v>45911</v>
      </c>
      <c r="F18" s="65">
        <v>-305780.31</v>
      </c>
      <c r="G18" s="133" t="s">
        <v>264</v>
      </c>
      <c r="H18" s="64" t="s">
        <v>45</v>
      </c>
      <c r="I18" s="67" t="s">
        <v>45</v>
      </c>
      <c r="J18" s="49"/>
      <c r="K18" s="54"/>
    </row>
    <row r="19" spans="2:14" s="23" customFormat="1" x14ac:dyDescent="0.25">
      <c r="B19" s="61">
        <v>45881</v>
      </c>
      <c r="C19" s="62" t="s">
        <v>24</v>
      </c>
      <c r="D19" s="87" t="s">
        <v>265</v>
      </c>
      <c r="E19" s="64">
        <v>45911</v>
      </c>
      <c r="F19" s="65">
        <v>1223121.24</v>
      </c>
      <c r="G19" s="133" t="s">
        <v>262</v>
      </c>
      <c r="H19" s="64">
        <v>45888</v>
      </c>
      <c r="I19" s="67">
        <f>+B19-H19</f>
        <v>-7</v>
      </c>
      <c r="J19" s="49"/>
      <c r="K19" s="54"/>
    </row>
    <row r="20" spans="2:14" s="23" customFormat="1" x14ac:dyDescent="0.25">
      <c r="B20" s="61">
        <v>45901</v>
      </c>
      <c r="C20" s="62" t="s">
        <v>24</v>
      </c>
      <c r="D20" s="87" t="s">
        <v>268</v>
      </c>
      <c r="E20" s="64">
        <f>+B20+30</f>
        <v>45931</v>
      </c>
      <c r="F20" s="65">
        <v>20551909.890000001</v>
      </c>
      <c r="G20" s="133" t="s">
        <v>269</v>
      </c>
      <c r="H20" s="64">
        <v>45925</v>
      </c>
      <c r="I20" s="67">
        <f>+B20-H20</f>
        <v>-24</v>
      </c>
      <c r="J20" s="49"/>
      <c r="K20" s="54"/>
    </row>
    <row r="21" spans="2:14" s="23" customFormat="1" x14ac:dyDescent="0.25">
      <c r="B21" s="73">
        <v>46045</v>
      </c>
      <c r="C21" s="74" t="s">
        <v>24</v>
      </c>
      <c r="D21" s="161" t="s">
        <v>340</v>
      </c>
      <c r="E21" s="75">
        <f>+B21+30</f>
        <v>46075</v>
      </c>
      <c r="F21" s="76">
        <v>7631712</v>
      </c>
      <c r="G21" s="173" t="s">
        <v>341</v>
      </c>
      <c r="H21" s="75"/>
      <c r="I21" s="78"/>
      <c r="J21" s="49"/>
      <c r="K21" s="54"/>
    </row>
    <row r="22" spans="2:14" s="23" customFormat="1" x14ac:dyDescent="0.25">
      <c r="B22" s="38"/>
      <c r="D22" s="39"/>
      <c r="E22" s="40"/>
      <c r="G22" s="42"/>
      <c r="H22" s="40"/>
      <c r="I22" s="50"/>
      <c r="J22" s="41"/>
      <c r="K22" s="55"/>
    </row>
    <row r="23" spans="2:14" x14ac:dyDescent="0.25">
      <c r="C23" s="30"/>
      <c r="D23" s="43"/>
      <c r="E23" s="44"/>
      <c r="G23" s="16"/>
      <c r="I23" s="50"/>
      <c r="J23" s="58"/>
      <c r="K23" s="56"/>
      <c r="N23" s="26"/>
    </row>
    <row r="24" spans="2:14" x14ac:dyDescent="0.25">
      <c r="B24" s="174" t="s">
        <v>7</v>
      </c>
      <c r="C24" s="175"/>
      <c r="D24" s="175"/>
      <c r="E24" s="176"/>
      <c r="F24" s="18">
        <v>0</v>
      </c>
      <c r="G24" s="82"/>
      <c r="J24" s="59"/>
      <c r="K24" s="60"/>
      <c r="L24" s="59"/>
    </row>
    <row r="25" spans="2:14" x14ac:dyDescent="0.25">
      <c r="B25" s="174" t="s">
        <v>8</v>
      </c>
      <c r="C25" s="175"/>
      <c r="D25" s="175"/>
      <c r="E25" s="176" t="s">
        <v>9</v>
      </c>
      <c r="F25" s="18">
        <f>+F12+F13+F14+F15+F16+F17+F18+F19+F11+F9+F10+F20</f>
        <v>59399162.57</v>
      </c>
      <c r="G25" s="46"/>
    </row>
    <row r="26" spans="2:14" x14ac:dyDescent="0.25">
      <c r="B26" s="174" t="s">
        <v>10</v>
      </c>
      <c r="C26" s="175"/>
      <c r="D26" s="175"/>
      <c r="E26" s="176" t="s">
        <v>11</v>
      </c>
      <c r="F26" s="18">
        <f>+F24-F25</f>
        <v>-59399162.57</v>
      </c>
      <c r="G26" s="46"/>
    </row>
    <row r="27" spans="2:14" x14ac:dyDescent="0.25">
      <c r="F27" s="47"/>
    </row>
    <row r="28" spans="2:14" x14ac:dyDescent="0.25">
      <c r="B28" s="177" t="s">
        <v>12</v>
      </c>
      <c r="C28" s="178"/>
      <c r="D28" s="178"/>
      <c r="E28" s="179"/>
      <c r="F28" s="48">
        <f>+F21</f>
        <v>7631712</v>
      </c>
      <c r="G28" s="83"/>
    </row>
    <row r="29" spans="2:14" x14ac:dyDescent="0.25">
      <c r="F29" s="13"/>
      <c r="G29" s="83"/>
    </row>
    <row r="30" spans="2:14" x14ac:dyDescent="0.25">
      <c r="F30" s="13"/>
      <c r="G30" s="83"/>
    </row>
    <row r="31" spans="2:14" x14ac:dyDescent="0.25">
      <c r="F31" s="13"/>
      <c r="G31" s="84"/>
      <c r="I31" s="37"/>
      <c r="J31" s="37"/>
      <c r="K31" s="57"/>
    </row>
    <row r="32" spans="2:14" x14ac:dyDescent="0.25">
      <c r="F32" s="13"/>
    </row>
    <row r="33" spans="6:6" x14ac:dyDescent="0.25">
      <c r="F33" s="13"/>
    </row>
    <row r="34" spans="6:6" x14ac:dyDescent="0.25">
      <c r="F34" s="80"/>
    </row>
    <row r="35" spans="6:6" x14ac:dyDescent="0.25">
      <c r="F35" s="80"/>
    </row>
  </sheetData>
  <mergeCells count="5">
    <mergeCell ref="B24:E24"/>
    <mergeCell ref="B25:E25"/>
    <mergeCell ref="B26:E26"/>
    <mergeCell ref="B28:E28"/>
    <mergeCell ref="D7:D8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showGridLines="0" topLeftCell="C1" workbookViewId="0">
      <selection activeCell="G18" sqref="G18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5.140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287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45945</v>
      </c>
      <c r="C4" s="62" t="s">
        <v>24</v>
      </c>
      <c r="D4" s="94" t="s">
        <v>288</v>
      </c>
      <c r="E4" s="64"/>
      <c r="F4" s="65">
        <v>394763.71</v>
      </c>
      <c r="G4" s="66" t="s">
        <v>289</v>
      </c>
      <c r="H4" s="64" t="s">
        <v>45</v>
      </c>
      <c r="I4" s="67" t="s">
        <v>45</v>
      </c>
      <c r="J4" s="49"/>
      <c r="K4" s="54"/>
    </row>
    <row r="5" spans="2:14" s="23" customFormat="1" x14ac:dyDescent="0.25">
      <c r="B5" s="61">
        <v>45957</v>
      </c>
      <c r="C5" s="62" t="s">
        <v>296</v>
      </c>
      <c r="D5" s="63" t="s">
        <v>297</v>
      </c>
      <c r="E5" s="64"/>
      <c r="F5" s="65">
        <v>-394763.71</v>
      </c>
      <c r="G5" s="66" t="s">
        <v>299</v>
      </c>
      <c r="H5" s="64" t="s">
        <v>45</v>
      </c>
      <c r="I5" s="67" t="s">
        <v>45</v>
      </c>
      <c r="J5" s="41"/>
      <c r="K5" s="55"/>
    </row>
    <row r="6" spans="2:14" s="23" customFormat="1" x14ac:dyDescent="0.25">
      <c r="B6" s="38"/>
      <c r="D6" s="39"/>
      <c r="E6" s="40"/>
      <c r="F6" s="13" t="s">
        <v>298</v>
      </c>
      <c r="G6" s="42"/>
      <c r="H6" s="40"/>
      <c r="I6" s="50"/>
      <c r="J6" s="41"/>
      <c r="K6" s="55"/>
    </row>
    <row r="7" spans="2:14" x14ac:dyDescent="0.25">
      <c r="C7" s="30"/>
      <c r="D7" s="43"/>
      <c r="E7" s="44"/>
      <c r="F7" s="45"/>
      <c r="G7" s="16"/>
      <c r="I7" s="50"/>
      <c r="J7" s="58"/>
      <c r="K7" s="56"/>
      <c r="N7" s="26"/>
    </row>
    <row r="8" spans="2:14" x14ac:dyDescent="0.25">
      <c r="B8" s="174" t="s">
        <v>7</v>
      </c>
      <c r="C8" s="175"/>
      <c r="D8" s="175"/>
      <c r="E8" s="176"/>
      <c r="F8" s="18">
        <v>0</v>
      </c>
      <c r="G8" s="82"/>
      <c r="J8" s="59"/>
      <c r="K8" s="60"/>
      <c r="L8" s="59"/>
    </row>
    <row r="9" spans="2:14" x14ac:dyDescent="0.25">
      <c r="B9" s="174" t="s">
        <v>8</v>
      </c>
      <c r="C9" s="175"/>
      <c r="D9" s="175"/>
      <c r="E9" s="176" t="s">
        <v>9</v>
      </c>
      <c r="F9" s="18">
        <v>0</v>
      </c>
      <c r="G9" s="46"/>
    </row>
    <row r="10" spans="2:14" x14ac:dyDescent="0.25">
      <c r="B10" s="174" t="s">
        <v>10</v>
      </c>
      <c r="C10" s="175"/>
      <c r="D10" s="175"/>
      <c r="E10" s="176" t="s">
        <v>11</v>
      </c>
      <c r="F10" s="18">
        <f>+F8-F9</f>
        <v>0</v>
      </c>
      <c r="G10" s="46"/>
    </row>
    <row r="11" spans="2:14" x14ac:dyDescent="0.25">
      <c r="F11" s="47"/>
    </row>
    <row r="12" spans="2:14" x14ac:dyDescent="0.25">
      <c r="B12" s="177" t="s">
        <v>12</v>
      </c>
      <c r="C12" s="178"/>
      <c r="D12" s="178"/>
      <c r="E12" s="179"/>
      <c r="F12" s="48">
        <v>0</v>
      </c>
      <c r="G12" s="83"/>
    </row>
    <row r="13" spans="2:14" x14ac:dyDescent="0.25">
      <c r="G13" s="83"/>
    </row>
    <row r="14" spans="2:14" x14ac:dyDescent="0.25">
      <c r="F14" s="80"/>
      <c r="G14" s="83"/>
    </row>
    <row r="15" spans="2:14" x14ac:dyDescent="0.25">
      <c r="F15" s="81"/>
      <c r="G15" s="84"/>
      <c r="I15" s="37"/>
      <c r="J15" s="37"/>
      <c r="K15" s="57"/>
    </row>
    <row r="16" spans="2:14" x14ac:dyDescent="0.25">
      <c r="F16" s="80"/>
    </row>
    <row r="17" spans="6:6" x14ac:dyDescent="0.25">
      <c r="F17" s="80"/>
    </row>
    <row r="18" spans="6:6" x14ac:dyDescent="0.25">
      <c r="F18" s="80"/>
    </row>
    <row r="19" spans="6:6" x14ac:dyDescent="0.25">
      <c r="F19" s="80"/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showGridLines="0" workbookViewId="0">
      <selection activeCell="D5" sqref="D5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5.140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89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73">
        <v>44266</v>
      </c>
      <c r="C4" s="74" t="s">
        <v>24</v>
      </c>
      <c r="D4" s="95" t="s">
        <v>55</v>
      </c>
      <c r="E4" s="75"/>
      <c r="F4" s="76">
        <v>260275</v>
      </c>
      <c r="G4" s="77"/>
      <c r="H4" s="75"/>
      <c r="I4" s="78"/>
      <c r="J4" s="49"/>
      <c r="K4" s="54"/>
    </row>
    <row r="5" spans="2:14" s="23" customFormat="1" x14ac:dyDescent="0.25">
      <c r="B5" s="73">
        <v>44685</v>
      </c>
      <c r="C5" s="74" t="s">
        <v>24</v>
      </c>
      <c r="D5" s="96" t="s">
        <v>56</v>
      </c>
      <c r="E5" s="75"/>
      <c r="F5" s="76">
        <v>942053</v>
      </c>
      <c r="G5" s="77"/>
      <c r="H5" s="75"/>
      <c r="I5" s="97"/>
      <c r="J5" s="49"/>
      <c r="K5" s="54"/>
    </row>
    <row r="6" spans="2:14" s="23" customFormat="1" x14ac:dyDescent="0.25">
      <c r="B6" s="38"/>
      <c r="D6" s="39"/>
      <c r="E6" s="40"/>
      <c r="F6" s="13"/>
      <c r="G6" s="42"/>
      <c r="H6" s="40"/>
      <c r="I6" s="50"/>
      <c r="J6" s="41"/>
      <c r="K6" s="55"/>
    </row>
    <row r="7" spans="2:14" x14ac:dyDescent="0.25">
      <c r="C7" s="30"/>
      <c r="D7" s="43"/>
      <c r="E7" s="44"/>
      <c r="F7" s="45"/>
      <c r="G7" s="16"/>
      <c r="I7" s="50"/>
      <c r="J7" s="58"/>
      <c r="K7" s="56"/>
      <c r="N7" s="26"/>
    </row>
    <row r="8" spans="2:14" x14ac:dyDescent="0.25">
      <c r="B8" s="174" t="s">
        <v>7</v>
      </c>
      <c r="C8" s="175"/>
      <c r="D8" s="175"/>
      <c r="E8" s="176"/>
      <c r="F8" s="18">
        <v>0</v>
      </c>
      <c r="G8" s="82"/>
      <c r="J8" s="59"/>
      <c r="K8" s="60"/>
      <c r="L8" s="59"/>
    </row>
    <row r="9" spans="2:14" x14ac:dyDescent="0.25">
      <c r="B9" s="174" t="s">
        <v>8</v>
      </c>
      <c r="C9" s="175"/>
      <c r="D9" s="175"/>
      <c r="E9" s="176" t="s">
        <v>9</v>
      </c>
      <c r="F9" s="18">
        <v>0</v>
      </c>
      <c r="G9" s="46"/>
    </row>
    <row r="10" spans="2:14" x14ac:dyDescent="0.25">
      <c r="B10" s="174" t="s">
        <v>10</v>
      </c>
      <c r="C10" s="175"/>
      <c r="D10" s="175"/>
      <c r="E10" s="176" t="s">
        <v>11</v>
      </c>
      <c r="F10" s="18">
        <f>+F8-F9</f>
        <v>0</v>
      </c>
      <c r="G10" s="46"/>
    </row>
    <row r="11" spans="2:14" x14ac:dyDescent="0.25">
      <c r="F11" s="47"/>
    </row>
    <row r="12" spans="2:14" x14ac:dyDescent="0.25">
      <c r="B12" s="177" t="s">
        <v>12</v>
      </c>
      <c r="C12" s="178"/>
      <c r="D12" s="178"/>
      <c r="E12" s="179"/>
      <c r="F12" s="48">
        <f>+F5+F4</f>
        <v>1202328</v>
      </c>
      <c r="G12" s="83"/>
    </row>
    <row r="13" spans="2:14" x14ac:dyDescent="0.25">
      <c r="G13" s="83"/>
    </row>
    <row r="14" spans="2:14" x14ac:dyDescent="0.25">
      <c r="F14" s="80"/>
      <c r="G14" s="83"/>
    </row>
    <row r="15" spans="2:14" x14ac:dyDescent="0.25">
      <c r="F15" s="81"/>
      <c r="G15" s="84"/>
      <c r="I15" s="37"/>
      <c r="J15" s="37"/>
      <c r="K15" s="57"/>
    </row>
    <row r="16" spans="2:14" x14ac:dyDescent="0.25">
      <c r="F16" s="80"/>
    </row>
    <row r="17" spans="6:6" x14ac:dyDescent="0.25">
      <c r="F17" s="80"/>
    </row>
    <row r="18" spans="6:6" x14ac:dyDescent="0.25">
      <c r="F18" s="80"/>
    </row>
    <row r="19" spans="6:6" x14ac:dyDescent="0.25">
      <c r="F19" s="80"/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showGridLines="0" topLeftCell="A7" workbookViewId="0">
      <selection activeCell="G23" sqref="G23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140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23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45344</v>
      </c>
      <c r="C4" s="62" t="s">
        <v>24</v>
      </c>
      <c r="D4" s="180">
        <v>200000310</v>
      </c>
      <c r="E4" s="64">
        <f>+B4+5</f>
        <v>45349</v>
      </c>
      <c r="F4" s="65">
        <v>3003028.4</v>
      </c>
      <c r="G4" s="66" t="s">
        <v>25</v>
      </c>
      <c r="H4" s="64">
        <v>45371</v>
      </c>
      <c r="I4" s="85">
        <f>+B4-H4</f>
        <v>-27</v>
      </c>
      <c r="J4" s="49"/>
      <c r="K4" s="54"/>
    </row>
    <row r="5" spans="2:14" s="23" customFormat="1" x14ac:dyDescent="0.25">
      <c r="B5" s="61">
        <v>45344</v>
      </c>
      <c r="C5" s="62" t="s">
        <v>24</v>
      </c>
      <c r="D5" s="181"/>
      <c r="E5" s="64">
        <v>45349</v>
      </c>
      <c r="F5" s="65">
        <v>3003028.4099999997</v>
      </c>
      <c r="G5" s="66" t="s">
        <v>25</v>
      </c>
      <c r="H5" s="64">
        <v>45351</v>
      </c>
      <c r="I5" s="85">
        <f>+B5-H5</f>
        <v>-7</v>
      </c>
      <c r="J5" s="49"/>
      <c r="K5" s="54"/>
    </row>
    <row r="6" spans="2:14" s="23" customFormat="1" x14ac:dyDescent="0.25">
      <c r="B6" s="61">
        <v>45714</v>
      </c>
      <c r="C6" s="62" t="s">
        <v>24</v>
      </c>
      <c r="D6" s="87" t="s">
        <v>137</v>
      </c>
      <c r="E6" s="64">
        <f>+B6+0</f>
        <v>45714</v>
      </c>
      <c r="F6" s="65">
        <v>19980631</v>
      </c>
      <c r="G6" s="66" t="s">
        <v>138</v>
      </c>
      <c r="H6" s="64" t="s">
        <v>45</v>
      </c>
      <c r="I6" s="105" t="s">
        <v>45</v>
      </c>
      <c r="J6" s="49"/>
      <c r="K6" s="54"/>
    </row>
    <row r="7" spans="2:14" s="23" customFormat="1" x14ac:dyDescent="0.25">
      <c r="B7" s="61">
        <v>45715</v>
      </c>
      <c r="C7" s="62" t="s">
        <v>46</v>
      </c>
      <c r="D7" s="104" t="s">
        <v>139</v>
      </c>
      <c r="E7" s="64">
        <f t="shared" ref="E7:E10" si="0">+B7+0</f>
        <v>45715</v>
      </c>
      <c r="F7" s="65">
        <v>-19980631</v>
      </c>
      <c r="G7" s="66" t="s">
        <v>140</v>
      </c>
      <c r="H7" s="64" t="s">
        <v>45</v>
      </c>
      <c r="I7" s="105" t="s">
        <v>45</v>
      </c>
      <c r="J7" s="49"/>
      <c r="K7" s="54"/>
    </row>
    <row r="8" spans="2:14" s="23" customFormat="1" x14ac:dyDescent="0.25">
      <c r="B8" s="61">
        <v>45715</v>
      </c>
      <c r="C8" s="62" t="s">
        <v>24</v>
      </c>
      <c r="D8" s="104" t="s">
        <v>141</v>
      </c>
      <c r="E8" s="64">
        <f t="shared" si="0"/>
        <v>45715</v>
      </c>
      <c r="F8" s="65">
        <v>19980631</v>
      </c>
      <c r="G8" s="66" t="s">
        <v>138</v>
      </c>
      <c r="H8" s="64" t="s">
        <v>45</v>
      </c>
      <c r="I8" s="105" t="s">
        <v>45</v>
      </c>
      <c r="J8" s="49"/>
      <c r="K8" s="54"/>
    </row>
    <row r="9" spans="2:14" s="23" customFormat="1" x14ac:dyDescent="0.25">
      <c r="B9" s="61">
        <v>45729</v>
      </c>
      <c r="C9" s="62" t="s">
        <v>46</v>
      </c>
      <c r="D9" s="104" t="s">
        <v>151</v>
      </c>
      <c r="E9" s="64">
        <f t="shared" si="0"/>
        <v>45729</v>
      </c>
      <c r="F9" s="65">
        <v>-19980631</v>
      </c>
      <c r="G9" s="66" t="s">
        <v>150</v>
      </c>
      <c r="H9" s="64" t="s">
        <v>45</v>
      </c>
      <c r="I9" s="105" t="s">
        <v>45</v>
      </c>
      <c r="J9" s="49"/>
      <c r="K9" s="54"/>
    </row>
    <row r="10" spans="2:14" s="23" customFormat="1" x14ac:dyDescent="0.25">
      <c r="B10" s="61">
        <v>45729</v>
      </c>
      <c r="C10" s="62" t="s">
        <v>24</v>
      </c>
      <c r="D10" s="87" t="s">
        <v>152</v>
      </c>
      <c r="E10" s="64">
        <f t="shared" si="0"/>
        <v>45729</v>
      </c>
      <c r="F10" s="65">
        <v>19980631</v>
      </c>
      <c r="G10" s="66" t="s">
        <v>138</v>
      </c>
      <c r="H10" s="64">
        <v>45733</v>
      </c>
      <c r="I10" s="85">
        <f>+B10-H10</f>
        <v>-4</v>
      </c>
      <c r="J10" s="49"/>
      <c r="K10" s="54"/>
    </row>
    <row r="11" spans="2:14" s="23" customFormat="1" x14ac:dyDescent="0.25">
      <c r="B11" s="61">
        <v>45846</v>
      </c>
      <c r="C11" s="62" t="s">
        <v>24</v>
      </c>
      <c r="D11" s="87" t="s">
        <v>227</v>
      </c>
      <c r="E11" s="64">
        <f>+B11+0</f>
        <v>45846</v>
      </c>
      <c r="F11" s="65">
        <v>7160000</v>
      </c>
      <c r="G11" s="66" t="s">
        <v>226</v>
      </c>
      <c r="H11" s="64">
        <v>45868</v>
      </c>
      <c r="I11" s="85">
        <f t="shared" ref="I11" si="1">+B11-H11</f>
        <v>-22</v>
      </c>
      <c r="J11" s="49"/>
      <c r="K11" s="54"/>
    </row>
    <row r="12" spans="2:14" s="23" customFormat="1" x14ac:dyDescent="0.25">
      <c r="B12" s="61">
        <v>45861</v>
      </c>
      <c r="C12" s="62" t="s">
        <v>24</v>
      </c>
      <c r="D12" s="87" t="s">
        <v>243</v>
      </c>
      <c r="E12" s="64">
        <f>+B12+0</f>
        <v>45861</v>
      </c>
      <c r="F12" s="65">
        <v>13472937.640000001</v>
      </c>
      <c r="G12" s="66" t="s">
        <v>244</v>
      </c>
      <c r="H12" s="64"/>
      <c r="I12" s="85"/>
      <c r="J12" s="49"/>
      <c r="K12" s="54"/>
    </row>
    <row r="13" spans="2:14" s="23" customFormat="1" x14ac:dyDescent="0.25">
      <c r="B13" s="61">
        <v>45863</v>
      </c>
      <c r="C13" s="62" t="s">
        <v>46</v>
      </c>
      <c r="D13" s="87" t="s">
        <v>245</v>
      </c>
      <c r="E13" s="64">
        <f t="shared" ref="E13" si="2">+B13+0</f>
        <v>45863</v>
      </c>
      <c r="F13" s="65">
        <v>-13472937.640000001</v>
      </c>
      <c r="G13" s="66" t="s">
        <v>244</v>
      </c>
      <c r="H13" s="64"/>
      <c r="I13" s="85"/>
      <c r="J13" s="49"/>
      <c r="K13" s="54"/>
    </row>
    <row r="14" spans="2:14" s="23" customFormat="1" x14ac:dyDescent="0.25">
      <c r="B14" s="61">
        <v>45866</v>
      </c>
      <c r="C14" s="62" t="s">
        <v>24</v>
      </c>
      <c r="D14" s="87" t="s">
        <v>246</v>
      </c>
      <c r="E14" s="64">
        <f t="shared" ref="E14" si="3">+B14+0</f>
        <v>45866</v>
      </c>
      <c r="F14" s="65">
        <v>13472937.640000001</v>
      </c>
      <c r="G14" s="66" t="s">
        <v>244</v>
      </c>
      <c r="H14" s="64">
        <v>45888</v>
      </c>
      <c r="I14" s="85">
        <f>+B14-H14</f>
        <v>-22</v>
      </c>
      <c r="J14" s="41"/>
      <c r="K14" s="55"/>
    </row>
    <row r="15" spans="2:14" s="23" customFormat="1" x14ac:dyDescent="0.25">
      <c r="B15" s="38"/>
      <c r="D15" s="14"/>
      <c r="E15" s="40"/>
      <c r="F15" s="13"/>
      <c r="G15" s="42"/>
      <c r="H15" s="40"/>
      <c r="I15" s="46"/>
      <c r="J15" s="41"/>
      <c r="K15" s="55"/>
    </row>
    <row r="16" spans="2:14" x14ac:dyDescent="0.25">
      <c r="C16" s="30"/>
      <c r="D16" s="43"/>
      <c r="E16" s="44"/>
      <c r="F16" s="45"/>
      <c r="G16" s="16"/>
      <c r="I16" s="50"/>
      <c r="J16" s="58"/>
      <c r="K16" s="56"/>
      <c r="N16" s="26"/>
    </row>
    <row r="17" spans="2:12" x14ac:dyDescent="0.25">
      <c r="B17" s="174" t="s">
        <v>7</v>
      </c>
      <c r="C17" s="175"/>
      <c r="D17" s="175"/>
      <c r="E17" s="176"/>
      <c r="F17" s="18">
        <v>0</v>
      </c>
      <c r="G17" s="82"/>
      <c r="J17" s="59"/>
      <c r="K17" s="60"/>
      <c r="L17" s="59"/>
    </row>
    <row r="18" spans="2:12" x14ac:dyDescent="0.25">
      <c r="B18" s="174" t="s">
        <v>8</v>
      </c>
      <c r="C18" s="175"/>
      <c r="D18" s="175"/>
      <c r="E18" s="176" t="s">
        <v>9</v>
      </c>
      <c r="F18" s="18">
        <f>+F11+F14</f>
        <v>20632937.640000001</v>
      </c>
      <c r="G18" s="46"/>
    </row>
    <row r="19" spans="2:12" x14ac:dyDescent="0.25">
      <c r="B19" s="174" t="s">
        <v>10</v>
      </c>
      <c r="C19" s="175"/>
      <c r="D19" s="175"/>
      <c r="E19" s="176" t="s">
        <v>11</v>
      </c>
      <c r="F19" s="18">
        <f>+F17-F18</f>
        <v>-20632937.640000001</v>
      </c>
      <c r="G19" s="46"/>
    </row>
    <row r="20" spans="2:12" x14ac:dyDescent="0.25">
      <c r="F20" s="47"/>
    </row>
    <row r="21" spans="2:12" x14ac:dyDescent="0.25">
      <c r="B21" s="177" t="s">
        <v>12</v>
      </c>
      <c r="C21" s="178"/>
      <c r="D21" s="178"/>
      <c r="E21" s="179"/>
      <c r="F21" s="48">
        <v>0</v>
      </c>
      <c r="G21" s="83"/>
    </row>
    <row r="22" spans="2:12" x14ac:dyDescent="0.25">
      <c r="G22" s="83"/>
    </row>
    <row r="23" spans="2:12" x14ac:dyDescent="0.25">
      <c r="F23" s="80"/>
      <c r="G23" s="83"/>
    </row>
    <row r="24" spans="2:12" x14ac:dyDescent="0.25">
      <c r="F24" s="81"/>
      <c r="G24" s="84"/>
      <c r="I24" s="37"/>
      <c r="J24" s="37"/>
      <c r="K24" s="57"/>
    </row>
    <row r="25" spans="2:12" x14ac:dyDescent="0.25">
      <c r="F25" s="80"/>
    </row>
    <row r="26" spans="2:12" x14ac:dyDescent="0.25">
      <c r="F26" s="80"/>
    </row>
    <row r="27" spans="2:12" x14ac:dyDescent="0.25">
      <c r="F27" s="80"/>
    </row>
    <row r="28" spans="2:12" x14ac:dyDescent="0.25">
      <c r="F28" s="80"/>
    </row>
  </sheetData>
  <mergeCells count="5">
    <mergeCell ref="B17:E17"/>
    <mergeCell ref="B18:E18"/>
    <mergeCell ref="B19:E19"/>
    <mergeCell ref="B21:E21"/>
    <mergeCell ref="D4:D5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"/>
  <sheetViews>
    <sheetView showGridLines="0" workbookViewId="0">
      <selection activeCell="F14" sqref="F14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0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94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45520</v>
      </c>
      <c r="C4" s="62" t="s">
        <v>24</v>
      </c>
      <c r="D4" s="87">
        <v>200000315</v>
      </c>
      <c r="E4" s="64">
        <f>+B4+30</f>
        <v>45550</v>
      </c>
      <c r="F4" s="65">
        <v>805134</v>
      </c>
      <c r="G4" s="66" t="s">
        <v>95</v>
      </c>
      <c r="H4" s="64">
        <v>45565</v>
      </c>
      <c r="I4" s="67">
        <f>+B4-H4</f>
        <v>-45</v>
      </c>
      <c r="J4" s="49"/>
      <c r="K4" s="54"/>
    </row>
    <row r="5" spans="2:14" s="152" customFormat="1" x14ac:dyDescent="0.25">
      <c r="B5" s="143">
        <v>46035</v>
      </c>
      <c r="C5" s="148" t="s">
        <v>24</v>
      </c>
      <c r="D5" s="145">
        <v>200000337</v>
      </c>
      <c r="E5" s="146">
        <f>+B5+30</f>
        <v>46065</v>
      </c>
      <c r="F5" s="65">
        <v>6865454.5</v>
      </c>
      <c r="G5" s="147" t="s">
        <v>336</v>
      </c>
      <c r="H5" s="146" t="s">
        <v>45</v>
      </c>
      <c r="I5" s="86" t="s">
        <v>45</v>
      </c>
      <c r="J5" s="49"/>
      <c r="K5" s="54"/>
    </row>
    <row r="6" spans="2:14" s="152" customFormat="1" x14ac:dyDescent="0.25">
      <c r="B6" s="143">
        <v>46036</v>
      </c>
      <c r="C6" s="148" t="s">
        <v>46</v>
      </c>
      <c r="D6" s="145">
        <v>200000061</v>
      </c>
      <c r="E6" s="146">
        <f t="shared" ref="E6:E7" si="0">+B6+30</f>
        <v>46066</v>
      </c>
      <c r="F6" s="65">
        <v>-6865454.5</v>
      </c>
      <c r="G6" s="147" t="s">
        <v>337</v>
      </c>
      <c r="H6" s="146" t="s">
        <v>45</v>
      </c>
      <c r="I6" s="86" t="s">
        <v>45</v>
      </c>
      <c r="J6" s="49"/>
      <c r="K6" s="54"/>
    </row>
    <row r="7" spans="2:14" s="23" customFormat="1" x14ac:dyDescent="0.25">
      <c r="B7" s="73">
        <v>46036</v>
      </c>
      <c r="C7" s="74" t="s">
        <v>24</v>
      </c>
      <c r="D7" s="161">
        <v>200000338</v>
      </c>
      <c r="E7" s="75">
        <f t="shared" si="0"/>
        <v>46066</v>
      </c>
      <c r="F7" s="76">
        <v>8307200</v>
      </c>
      <c r="G7" s="77" t="s">
        <v>336</v>
      </c>
      <c r="H7" s="75"/>
      <c r="I7" s="78"/>
      <c r="J7" s="49"/>
      <c r="K7" s="54"/>
    </row>
    <row r="8" spans="2:14" s="23" customFormat="1" x14ac:dyDescent="0.25">
      <c r="B8" s="38"/>
      <c r="D8" s="39"/>
      <c r="E8" s="40"/>
      <c r="F8" s="13"/>
      <c r="G8" s="42"/>
      <c r="H8" s="40"/>
      <c r="I8" s="50"/>
      <c r="J8" s="41"/>
      <c r="K8" s="55"/>
    </row>
    <row r="9" spans="2:14" x14ac:dyDescent="0.25">
      <c r="C9" s="30"/>
      <c r="D9" s="43"/>
      <c r="E9" s="44"/>
      <c r="F9" s="45"/>
      <c r="G9" s="16"/>
      <c r="I9" s="50"/>
      <c r="J9" s="58"/>
      <c r="K9" s="56"/>
      <c r="N9" s="26"/>
    </row>
    <row r="10" spans="2:14" x14ac:dyDescent="0.25">
      <c r="B10" s="174" t="s">
        <v>7</v>
      </c>
      <c r="C10" s="175"/>
      <c r="D10" s="175"/>
      <c r="E10" s="176"/>
      <c r="F10" s="18">
        <v>0</v>
      </c>
      <c r="G10" s="82"/>
      <c r="J10" s="59"/>
      <c r="K10" s="60"/>
      <c r="L10" s="59"/>
    </row>
    <row r="11" spans="2:14" x14ac:dyDescent="0.25">
      <c r="B11" s="174" t="s">
        <v>8</v>
      </c>
      <c r="C11" s="175"/>
      <c r="D11" s="175"/>
      <c r="E11" s="176" t="s">
        <v>9</v>
      </c>
      <c r="F11" s="18">
        <v>0</v>
      </c>
      <c r="G11" s="46"/>
    </row>
    <row r="12" spans="2:14" x14ac:dyDescent="0.25">
      <c r="B12" s="174" t="s">
        <v>10</v>
      </c>
      <c r="C12" s="175"/>
      <c r="D12" s="175"/>
      <c r="E12" s="176" t="s">
        <v>11</v>
      </c>
      <c r="F12" s="18">
        <f>+F10-F11</f>
        <v>0</v>
      </c>
      <c r="G12" s="46"/>
    </row>
    <row r="13" spans="2:14" x14ac:dyDescent="0.25">
      <c r="F13" s="47"/>
    </row>
    <row r="14" spans="2:14" x14ac:dyDescent="0.25">
      <c r="B14" s="177" t="s">
        <v>12</v>
      </c>
      <c r="C14" s="178"/>
      <c r="D14" s="178"/>
      <c r="E14" s="179"/>
      <c r="F14" s="48">
        <f>+F7</f>
        <v>8307200</v>
      </c>
      <c r="G14" s="83"/>
    </row>
    <row r="15" spans="2:14" x14ac:dyDescent="0.25">
      <c r="G15" s="83"/>
    </row>
    <row r="16" spans="2:14" x14ac:dyDescent="0.25">
      <c r="F16" s="80"/>
      <c r="G16" s="83"/>
    </row>
    <row r="17" spans="6:11" x14ac:dyDescent="0.25">
      <c r="F17" s="81"/>
      <c r="G17" s="84"/>
      <c r="I17" s="37"/>
      <c r="J17" s="37"/>
      <c r="K17" s="57"/>
    </row>
    <row r="18" spans="6:11" x14ac:dyDescent="0.25">
      <c r="F18" s="80"/>
    </row>
    <row r="19" spans="6:11" x14ac:dyDescent="0.25">
      <c r="F19" s="80"/>
    </row>
    <row r="20" spans="6:11" x14ac:dyDescent="0.25">
      <c r="F20" s="80"/>
    </row>
    <row r="21" spans="6:11" x14ac:dyDescent="0.25">
      <c r="F21" s="80"/>
    </row>
  </sheetData>
  <mergeCells count="4">
    <mergeCell ref="B10:E10"/>
    <mergeCell ref="B11:E11"/>
    <mergeCell ref="B12:E12"/>
    <mergeCell ref="B14:E1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F12" sqref="F12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159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45756</v>
      </c>
      <c r="C4" s="62" t="s">
        <v>24</v>
      </c>
      <c r="D4" s="87" t="s">
        <v>160</v>
      </c>
      <c r="E4" s="64">
        <f>+B4+30</f>
        <v>45786</v>
      </c>
      <c r="F4" s="65">
        <v>2710167.68</v>
      </c>
      <c r="G4" s="66" t="s">
        <v>161</v>
      </c>
      <c r="H4" s="64">
        <v>45772</v>
      </c>
      <c r="I4" s="67">
        <f>+B4-H4</f>
        <v>-16</v>
      </c>
      <c r="J4" s="49"/>
      <c r="K4" s="54"/>
    </row>
    <row r="5" spans="2:14" s="23" customFormat="1" x14ac:dyDescent="0.25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  <c r="G11" s="83"/>
    </row>
    <row r="12" spans="2:14" x14ac:dyDescent="0.25">
      <c r="G12" s="83"/>
    </row>
    <row r="13" spans="2:14" x14ac:dyDescent="0.25">
      <c r="F13" s="80"/>
      <c r="G13" s="83"/>
    </row>
    <row r="14" spans="2:14" x14ac:dyDescent="0.25">
      <c r="F14" s="81"/>
      <c r="G14" s="84"/>
      <c r="I14" s="37"/>
      <c r="J14" s="37"/>
      <c r="K14" s="57"/>
    </row>
    <row r="15" spans="2:14" x14ac:dyDescent="0.25">
      <c r="F15" s="80"/>
    </row>
    <row r="16" spans="2:14" x14ac:dyDescent="0.25">
      <c r="F16" s="80"/>
    </row>
    <row r="17" spans="6:6" x14ac:dyDescent="0.25">
      <c r="F17" s="80"/>
    </row>
    <row r="18" spans="6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"/>
  <sheetViews>
    <sheetView showGridLines="0" workbookViewId="0">
      <selection activeCell="G14" sqref="G14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67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45442</v>
      </c>
      <c r="C4" s="62" t="s">
        <v>24</v>
      </c>
      <c r="D4" s="87">
        <v>200001325</v>
      </c>
      <c r="E4" s="64">
        <f>+B4+0</f>
        <v>45442</v>
      </c>
      <c r="F4" s="65">
        <v>968000</v>
      </c>
      <c r="G4" s="66" t="s">
        <v>68</v>
      </c>
      <c r="H4" s="64">
        <v>45442</v>
      </c>
      <c r="I4" s="67">
        <f>+B4-H4</f>
        <v>0</v>
      </c>
      <c r="J4" s="49"/>
      <c r="K4" s="54"/>
    </row>
    <row r="5" spans="2:14" s="23" customFormat="1" x14ac:dyDescent="0.25">
      <c r="B5" s="111">
        <v>45692</v>
      </c>
      <c r="C5" s="112" t="s">
        <v>24</v>
      </c>
      <c r="D5" s="180" t="s">
        <v>130</v>
      </c>
      <c r="E5" s="113">
        <f>+B5+30</f>
        <v>45722</v>
      </c>
      <c r="F5" s="65">
        <v>4713890.3</v>
      </c>
      <c r="G5" s="114" t="s">
        <v>131</v>
      </c>
      <c r="H5" s="64">
        <v>45768</v>
      </c>
      <c r="I5" s="67">
        <f>+B5-H5</f>
        <v>-76</v>
      </c>
      <c r="J5" s="49"/>
      <c r="K5" s="54"/>
    </row>
    <row r="6" spans="2:14" s="23" customFormat="1" x14ac:dyDescent="0.25">
      <c r="B6" s="61">
        <v>45692</v>
      </c>
      <c r="C6" s="103" t="s">
        <v>24</v>
      </c>
      <c r="D6" s="181"/>
      <c r="E6" s="64">
        <v>45722</v>
      </c>
      <c r="F6" s="65">
        <v>4875843.7</v>
      </c>
      <c r="G6" s="66" t="s">
        <v>131</v>
      </c>
      <c r="H6" s="64">
        <v>45700</v>
      </c>
      <c r="I6" s="67">
        <f>+B5-H6</f>
        <v>-8</v>
      </c>
      <c r="J6" s="49"/>
      <c r="K6" s="54"/>
    </row>
    <row r="7" spans="2:14" s="23" customFormat="1" x14ac:dyDescent="0.25">
      <c r="B7" s="143">
        <v>45967</v>
      </c>
      <c r="C7" s="144" t="s">
        <v>24</v>
      </c>
      <c r="D7" s="145" t="s">
        <v>307</v>
      </c>
      <c r="E7" s="146">
        <f>+B7+5</f>
        <v>45972</v>
      </c>
      <c r="F7" s="65">
        <v>724608.5</v>
      </c>
      <c r="G7" s="147" t="s">
        <v>308</v>
      </c>
      <c r="H7" s="146">
        <v>45967</v>
      </c>
      <c r="I7" s="67">
        <f>+B7-H7</f>
        <v>0</v>
      </c>
      <c r="J7" s="49"/>
      <c r="K7" s="54"/>
    </row>
    <row r="8" spans="2:14" s="23" customFormat="1" x14ac:dyDescent="0.25">
      <c r="B8" s="38"/>
      <c r="D8" s="39"/>
      <c r="E8" s="40"/>
      <c r="F8" s="13"/>
      <c r="G8" s="42"/>
      <c r="H8" s="40"/>
      <c r="I8" s="50"/>
      <c r="J8" s="41"/>
      <c r="K8" s="55"/>
    </row>
    <row r="9" spans="2:14" x14ac:dyDescent="0.25">
      <c r="C9" s="30"/>
      <c r="D9" s="43"/>
      <c r="E9" s="44"/>
      <c r="F9" s="45"/>
      <c r="G9" s="16"/>
      <c r="I9" s="50"/>
      <c r="J9" s="58"/>
      <c r="K9" s="56"/>
      <c r="N9" s="26"/>
    </row>
    <row r="10" spans="2:14" x14ac:dyDescent="0.25">
      <c r="B10" s="174" t="s">
        <v>7</v>
      </c>
      <c r="C10" s="175"/>
      <c r="D10" s="175"/>
      <c r="E10" s="176"/>
      <c r="F10" s="18">
        <v>0</v>
      </c>
      <c r="G10" s="82"/>
      <c r="J10" s="59"/>
      <c r="K10" s="60"/>
      <c r="L10" s="59"/>
    </row>
    <row r="11" spans="2:14" x14ac:dyDescent="0.25">
      <c r="B11" s="174" t="s">
        <v>8</v>
      </c>
      <c r="C11" s="175"/>
      <c r="D11" s="175"/>
      <c r="E11" s="176" t="s">
        <v>9</v>
      </c>
      <c r="F11" s="18">
        <f>+F4+F5+F6+F7</f>
        <v>11282342.5</v>
      </c>
      <c r="G11" s="46"/>
    </row>
    <row r="12" spans="2:14" x14ac:dyDescent="0.25">
      <c r="B12" s="174" t="s">
        <v>10</v>
      </c>
      <c r="C12" s="175"/>
      <c r="D12" s="175"/>
      <c r="E12" s="176" t="s">
        <v>11</v>
      </c>
      <c r="F12" s="18">
        <f>+F10-F11</f>
        <v>-11282342.5</v>
      </c>
      <c r="G12" s="46"/>
    </row>
    <row r="13" spans="2:14" x14ac:dyDescent="0.25">
      <c r="F13" s="47"/>
    </row>
    <row r="14" spans="2:14" x14ac:dyDescent="0.25">
      <c r="B14" s="177" t="s">
        <v>12</v>
      </c>
      <c r="C14" s="178"/>
      <c r="D14" s="178"/>
      <c r="E14" s="179"/>
      <c r="F14" s="48">
        <v>0</v>
      </c>
      <c r="G14" s="83"/>
    </row>
    <row r="15" spans="2:14" x14ac:dyDescent="0.25">
      <c r="G15" s="83"/>
    </row>
    <row r="16" spans="2:14" x14ac:dyDescent="0.25">
      <c r="F16" s="80"/>
      <c r="G16" s="83"/>
    </row>
    <row r="17" spans="6:11" x14ac:dyDescent="0.25">
      <c r="F17" s="81"/>
      <c r="G17" s="84"/>
      <c r="I17" s="37"/>
      <c r="J17" s="37"/>
      <c r="K17" s="57"/>
    </row>
    <row r="18" spans="6:11" x14ac:dyDescent="0.25">
      <c r="F18" s="80"/>
    </row>
    <row r="19" spans="6:11" x14ac:dyDescent="0.25">
      <c r="F19" s="80"/>
    </row>
    <row r="20" spans="6:11" x14ac:dyDescent="0.25">
      <c r="F20" s="80"/>
    </row>
    <row r="21" spans="6:11" x14ac:dyDescent="0.25">
      <c r="F21" s="80"/>
    </row>
  </sheetData>
  <mergeCells count="5">
    <mergeCell ref="B10:E10"/>
    <mergeCell ref="B11:E11"/>
    <mergeCell ref="B12:E12"/>
    <mergeCell ref="B14:E14"/>
    <mergeCell ref="D5:D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workbookViewId="0">
      <selection activeCell="H23" sqref="H23"/>
    </sheetView>
  </sheetViews>
  <sheetFormatPr baseColWidth="10" defaultRowHeight="15" x14ac:dyDescent="0.25"/>
  <cols>
    <col min="1" max="1" width="5" bestFit="1" customWidth="1"/>
    <col min="2" max="2" width="14.140625" style="34" bestFit="1" customWidth="1"/>
    <col min="3" max="3" width="11.140625" bestFit="1" customWidth="1"/>
    <col min="4" max="4" width="11.28515625" style="36" bestFit="1" customWidth="1"/>
    <col min="5" max="5" width="11.42578125" style="3" bestFit="1" customWidth="1"/>
    <col min="6" max="6" width="15" style="37" customWidth="1"/>
    <col min="7" max="7" width="63.42578125" customWidth="1"/>
    <col min="8" max="8" width="13.42578125" style="1" bestFit="1" customWidth="1"/>
    <col min="9" max="10" width="8.7109375" bestFit="1" customWidth="1"/>
    <col min="11" max="11" width="8.7109375" style="52" bestFit="1" customWidth="1"/>
    <col min="12" max="12" width="8.42578125" bestFit="1" customWidth="1"/>
    <col min="13" max="13" width="11.5703125" bestFit="1" customWidth="1"/>
    <col min="14" max="14" width="11.42578125" customWidth="1"/>
    <col min="15" max="15" width="23.28515625" customWidth="1"/>
  </cols>
  <sheetData>
    <row r="1" spans="2:14" ht="15.75" x14ac:dyDescent="0.25">
      <c r="B1" s="35" t="s">
        <v>105</v>
      </c>
    </row>
    <row r="3" spans="2:14" x14ac:dyDescent="0.25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5">
      <c r="B4" s="61">
        <v>45609</v>
      </c>
      <c r="C4" s="62" t="s">
        <v>24</v>
      </c>
      <c r="D4" s="87" t="s">
        <v>106</v>
      </c>
      <c r="E4" s="64">
        <f>+B4+0</f>
        <v>45609</v>
      </c>
      <c r="F4" s="65">
        <v>9869493.2599999998</v>
      </c>
      <c r="G4" s="66" t="s">
        <v>107</v>
      </c>
      <c r="H4" s="64">
        <v>45618</v>
      </c>
      <c r="I4" s="67">
        <f>+B4-H4</f>
        <v>-9</v>
      </c>
      <c r="J4" s="49"/>
      <c r="K4" s="54"/>
    </row>
    <row r="5" spans="2:14" s="23" customFormat="1" x14ac:dyDescent="0.25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5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5">
      <c r="B7" s="174" t="s">
        <v>7</v>
      </c>
      <c r="C7" s="175"/>
      <c r="D7" s="175"/>
      <c r="E7" s="176"/>
      <c r="F7" s="18">
        <v>0</v>
      </c>
      <c r="G7" s="82"/>
      <c r="J7" s="59"/>
      <c r="K7" s="60"/>
      <c r="L7" s="59"/>
    </row>
    <row r="8" spans="2:14" x14ac:dyDescent="0.25">
      <c r="B8" s="174" t="s">
        <v>8</v>
      </c>
      <c r="C8" s="175"/>
      <c r="D8" s="175"/>
      <c r="E8" s="176" t="s">
        <v>9</v>
      </c>
      <c r="F8" s="18">
        <v>0</v>
      </c>
      <c r="G8" s="46"/>
    </row>
    <row r="9" spans="2:14" x14ac:dyDescent="0.25">
      <c r="B9" s="174" t="s">
        <v>10</v>
      </c>
      <c r="C9" s="175"/>
      <c r="D9" s="175"/>
      <c r="E9" s="176" t="s">
        <v>11</v>
      </c>
      <c r="F9" s="18">
        <f>+F7-F8</f>
        <v>0</v>
      </c>
      <c r="G9" s="46"/>
    </row>
    <row r="10" spans="2:14" x14ac:dyDescent="0.25">
      <c r="F10" s="47"/>
    </row>
    <row r="11" spans="2:14" x14ac:dyDescent="0.25">
      <c r="B11" s="177" t="s">
        <v>12</v>
      </c>
      <c r="C11" s="178"/>
      <c r="D11" s="178"/>
      <c r="E11" s="179"/>
      <c r="F11" s="48">
        <v>0</v>
      </c>
      <c r="G11" s="83"/>
    </row>
    <row r="12" spans="2:14" x14ac:dyDescent="0.25">
      <c r="G12" s="83"/>
    </row>
    <row r="13" spans="2:14" x14ac:dyDescent="0.25">
      <c r="F13" s="80"/>
      <c r="G13" s="83"/>
    </row>
    <row r="14" spans="2:14" x14ac:dyDescent="0.25">
      <c r="F14" s="81"/>
      <c r="G14" s="84"/>
      <c r="I14" s="37"/>
      <c r="J14" s="37"/>
      <c r="K14" s="57"/>
    </row>
    <row r="15" spans="2:14" x14ac:dyDescent="0.25">
      <c r="F15" s="80"/>
    </row>
    <row r="16" spans="2:14" x14ac:dyDescent="0.25">
      <c r="F16" s="80"/>
    </row>
    <row r="17" spans="6:6" x14ac:dyDescent="0.25">
      <c r="F17" s="80"/>
    </row>
    <row r="18" spans="6:6" x14ac:dyDescent="0.25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E151"/>
  <sheetViews>
    <sheetView showGridLines="0" tabSelected="1" workbookViewId="0">
      <selection activeCell="G23" sqref="G23"/>
    </sheetView>
  </sheetViews>
  <sheetFormatPr baseColWidth="10" defaultRowHeight="15" x14ac:dyDescent="0.25"/>
  <cols>
    <col min="1" max="1" width="2.7109375" customWidth="1"/>
    <col min="2" max="2" width="30.7109375" bestFit="1" customWidth="1"/>
    <col min="3" max="3" width="14.5703125" bestFit="1" customWidth="1"/>
  </cols>
  <sheetData>
    <row r="1" spans="2:3" ht="18.75" x14ac:dyDescent="0.25">
      <c r="B1" s="182" t="s">
        <v>22</v>
      </c>
      <c r="C1" s="183"/>
    </row>
    <row r="2" spans="2:3" ht="13.5" customHeight="1" thickBot="1" x14ac:dyDescent="0.3">
      <c r="B2" s="184">
        <f ca="1">TODAY()</f>
        <v>46045</v>
      </c>
      <c r="C2" s="184"/>
    </row>
    <row r="3" spans="2:3" ht="15.75" customHeight="1" x14ac:dyDescent="0.25">
      <c r="B3" s="185" t="s">
        <v>21</v>
      </c>
      <c r="C3" s="186"/>
    </row>
    <row r="4" spans="2:3" ht="15.75" customHeight="1" x14ac:dyDescent="0.25">
      <c r="B4" s="187" t="s">
        <v>13</v>
      </c>
      <c r="C4" s="189" t="s">
        <v>14</v>
      </c>
    </row>
    <row r="5" spans="2:3" ht="15.75" thickBot="1" x14ac:dyDescent="0.3">
      <c r="B5" s="188"/>
      <c r="C5" s="190"/>
    </row>
    <row r="6" spans="2:3" x14ac:dyDescent="0.25">
      <c r="B6" s="71" t="s">
        <v>90</v>
      </c>
      <c r="C6" s="72">
        <f>+'CAMPO FUERTE'!F12</f>
        <v>0</v>
      </c>
    </row>
    <row r="7" spans="2:3" x14ac:dyDescent="0.25">
      <c r="B7" s="71" t="s">
        <v>19</v>
      </c>
      <c r="C7" s="72">
        <f>+AUTOMAT!F104</f>
        <v>21436431.329999998</v>
      </c>
    </row>
    <row r="8" spans="2:3" x14ac:dyDescent="0.25">
      <c r="B8" s="21" t="s">
        <v>26</v>
      </c>
      <c r="C8" s="22">
        <f>+FLUVIOMAT!F20</f>
        <v>0</v>
      </c>
    </row>
    <row r="9" spans="2:3" x14ac:dyDescent="0.25">
      <c r="B9" s="21" t="s">
        <v>27</v>
      </c>
      <c r="C9" s="22">
        <f>+INDUMAT!F47</f>
        <v>7343436.9499999993</v>
      </c>
    </row>
    <row r="10" spans="2:3" x14ac:dyDescent="0.25">
      <c r="B10" s="71" t="s">
        <v>40</v>
      </c>
      <c r="C10" s="72">
        <f>+ABSA!F46</f>
        <v>0</v>
      </c>
    </row>
    <row r="11" spans="2:3" x14ac:dyDescent="0.25">
      <c r="B11" s="71" t="s">
        <v>123</v>
      </c>
      <c r="C11" s="72">
        <f>+ADESSO!F11</f>
        <v>0</v>
      </c>
    </row>
    <row r="12" spans="2:3" x14ac:dyDescent="0.25">
      <c r="B12" s="71" t="str">
        <f>+'AGUAS RIONEGRINAS'!B1</f>
        <v>AGUAS RIONEGRINAS</v>
      </c>
      <c r="C12" s="72">
        <f>+'AGUAS RIONEGRINAS'!F15</f>
        <v>0</v>
      </c>
    </row>
    <row r="13" spans="2:3" x14ac:dyDescent="0.25">
      <c r="B13" s="71" t="s">
        <v>330</v>
      </c>
      <c r="C13" s="72">
        <f>+ALEMARSA!F11</f>
        <v>0</v>
      </c>
    </row>
    <row r="14" spans="2:3" x14ac:dyDescent="0.25">
      <c r="B14" s="71" t="str">
        <f>+'COOP. COSERCO CORONDA'!B1</f>
        <v>COOP. COSERCO CORONDA</v>
      </c>
      <c r="C14" s="72">
        <f>+'COOP. COSERCO CORONDA'!F11</f>
        <v>0</v>
      </c>
    </row>
    <row r="15" spans="2:3" x14ac:dyDescent="0.25">
      <c r="B15" s="71" t="str">
        <f>+'COOP OB Y SERV ST TERESITA '!B1</f>
        <v xml:space="preserve">COOP. DE OBRAS Y SERV SANTA TERESITA </v>
      </c>
      <c r="C15" s="72">
        <f>+'COOP OB Y SERV ST TERESITA '!F11</f>
        <v>0</v>
      </c>
    </row>
    <row r="16" spans="2:3" x14ac:dyDescent="0.25">
      <c r="B16" s="71" t="str">
        <f>+'DESOB.ARGENTINA ASHIRA'!B1</f>
        <v xml:space="preserve">DESOBSTRUCTORA ARG. ASHIRA </v>
      </c>
      <c r="C16" s="72">
        <f>+'DESOB.ARGENTINA ASHIRA'!F11</f>
        <v>0</v>
      </c>
    </row>
    <row r="17" spans="2:5" x14ac:dyDescent="0.25">
      <c r="B17" s="71" t="s">
        <v>171</v>
      </c>
      <c r="C17" s="72">
        <f>+'ENTE MUNIC SERV'!F13</f>
        <v>0</v>
      </c>
    </row>
    <row r="18" spans="2:5" x14ac:dyDescent="0.25">
      <c r="B18" s="21" t="s">
        <v>86</v>
      </c>
      <c r="C18" s="22">
        <f>+'MUNIC JUNIN'!F28</f>
        <v>7631712</v>
      </c>
    </row>
    <row r="19" spans="2:5" x14ac:dyDescent="0.25">
      <c r="B19" s="21" t="s">
        <v>89</v>
      </c>
      <c r="C19" s="22">
        <f>+'MUNIC SAN MARTIN'!F12</f>
        <v>1202328</v>
      </c>
    </row>
    <row r="20" spans="2:5" x14ac:dyDescent="0.25">
      <c r="B20" s="21" t="str">
        <f>+'MUNIC SANTA ROSA'!B1</f>
        <v>MUNIC SANTA ROSA</v>
      </c>
      <c r="C20" s="22">
        <f>+'MUNIC SANTA ROSA'!F12</f>
        <v>0</v>
      </c>
    </row>
    <row r="21" spans="2:5" x14ac:dyDescent="0.25">
      <c r="B21" s="21" t="s">
        <v>23</v>
      </c>
      <c r="C21" s="22">
        <f>+'MUNIC TRES ARROYOS'!F21</f>
        <v>0</v>
      </c>
    </row>
    <row r="22" spans="2:5" x14ac:dyDescent="0.25">
      <c r="B22" s="21" t="s">
        <v>335</v>
      </c>
      <c r="C22" s="22">
        <f>+'OB SANIT MDP'!F14</f>
        <v>8307200</v>
      </c>
    </row>
    <row r="23" spans="2:5" x14ac:dyDescent="0.25">
      <c r="B23" s="21" t="s">
        <v>159</v>
      </c>
      <c r="C23" s="22">
        <f>+'SERV AGUA MISIONES'!F11</f>
        <v>0</v>
      </c>
    </row>
    <row r="24" spans="2:5" ht="15.75" thickBot="1" x14ac:dyDescent="0.3">
      <c r="B24" s="21" t="s">
        <v>67</v>
      </c>
      <c r="C24" s="22">
        <f>+'SERV IBARRA'!F14</f>
        <v>0</v>
      </c>
    </row>
    <row r="25" spans="2:5" ht="15.75" thickBot="1" x14ac:dyDescent="0.3">
      <c r="B25" s="24" t="s">
        <v>17</v>
      </c>
      <c r="C25" s="25">
        <f>SUM(C6:C24)</f>
        <v>45921108.280000001</v>
      </c>
      <c r="D25" s="26"/>
      <c r="E25" s="26"/>
    </row>
    <row r="26" spans="2:5" ht="15.75" customHeight="1" x14ac:dyDescent="0.25">
      <c r="B26" s="115" t="s">
        <v>180</v>
      </c>
      <c r="C26" s="27">
        <f>+'saldo tango'!C393</f>
        <v>45920338.260000005</v>
      </c>
      <c r="D26" s="26"/>
      <c r="E26" s="26"/>
    </row>
    <row r="27" spans="2:5" x14ac:dyDescent="0.25">
      <c r="B27" s="28"/>
      <c r="C27" s="27">
        <f>+C25-C26</f>
        <v>770.01999999582767</v>
      </c>
    </row>
    <row r="28" spans="2:5" x14ac:dyDescent="0.25">
      <c r="C28" s="29"/>
    </row>
    <row r="29" spans="2:5" ht="14.25" customHeight="1" x14ac:dyDescent="0.25"/>
    <row r="31" spans="2:5" x14ac:dyDescent="0.25">
      <c r="C31" s="26"/>
    </row>
    <row r="43" spans="2:2" x14ac:dyDescent="0.25">
      <c r="B43" s="26"/>
    </row>
    <row r="46" spans="2:2" x14ac:dyDescent="0.25">
      <c r="B46" s="10"/>
    </row>
    <row r="47" spans="2:2" x14ac:dyDescent="0.25">
      <c r="B47" s="10"/>
    </row>
    <row r="48" spans="2:2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6" spans="2:2" x14ac:dyDescent="0.25">
      <c r="B66" s="30"/>
    </row>
    <row r="67" spans="2:2" x14ac:dyDescent="0.25">
      <c r="B67" s="30"/>
    </row>
    <row r="68" spans="2:2" x14ac:dyDescent="0.25">
      <c r="B68" s="30"/>
    </row>
    <row r="69" spans="2:2" x14ac:dyDescent="0.25">
      <c r="B69" s="30"/>
    </row>
    <row r="70" spans="2:2" x14ac:dyDescent="0.25">
      <c r="B70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30"/>
    </row>
    <row r="94" spans="2:2" x14ac:dyDescent="0.25">
      <c r="B94" s="30"/>
    </row>
    <row r="95" spans="2:2" x14ac:dyDescent="0.25">
      <c r="B95" s="30"/>
    </row>
    <row r="96" spans="2:2" x14ac:dyDescent="0.25">
      <c r="B96" s="10"/>
    </row>
    <row r="97" spans="2:2" x14ac:dyDescent="0.25">
      <c r="B97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3" x14ac:dyDescent="0.25">
      <c r="B129" s="10"/>
    </row>
    <row r="130" spans="2:3" x14ac:dyDescent="0.25">
      <c r="B130" s="10"/>
    </row>
    <row r="131" spans="2:3" x14ac:dyDescent="0.25">
      <c r="B131" s="10"/>
    </row>
    <row r="133" spans="2:3" x14ac:dyDescent="0.25">
      <c r="B133" s="10"/>
    </row>
    <row r="134" spans="2:3" x14ac:dyDescent="0.25">
      <c r="B134" s="10"/>
    </row>
    <row r="135" spans="2:3" x14ac:dyDescent="0.25">
      <c r="B135" s="10"/>
    </row>
    <row r="136" spans="2:3" x14ac:dyDescent="0.25">
      <c r="B136" s="10"/>
    </row>
    <row r="137" spans="2:3" x14ac:dyDescent="0.25">
      <c r="B137" s="10"/>
    </row>
    <row r="138" spans="2:3" x14ac:dyDescent="0.25">
      <c r="B138" s="10"/>
    </row>
    <row r="139" spans="2:3" ht="15.75" x14ac:dyDescent="0.25">
      <c r="B139" s="31"/>
      <c r="C139" s="32"/>
    </row>
    <row r="140" spans="2:3" x14ac:dyDescent="0.25">
      <c r="B140" s="30"/>
      <c r="C140" s="10"/>
    </row>
    <row r="141" spans="2:3" x14ac:dyDescent="0.25">
      <c r="B141" s="10"/>
      <c r="C141" s="10"/>
    </row>
    <row r="142" spans="2:3" x14ac:dyDescent="0.25">
      <c r="B142" s="10"/>
      <c r="C142" s="10"/>
    </row>
    <row r="143" spans="2:3" x14ac:dyDescent="0.25">
      <c r="B143" s="10"/>
    </row>
    <row r="144" spans="2:3" x14ac:dyDescent="0.25">
      <c r="B144" s="10"/>
    </row>
    <row r="145" spans="2:3" x14ac:dyDescent="0.25">
      <c r="B145" s="10"/>
    </row>
    <row r="146" spans="2:3" x14ac:dyDescent="0.25">
      <c r="B146" s="10"/>
    </row>
    <row r="147" spans="2:3" x14ac:dyDescent="0.25">
      <c r="B147" s="10"/>
    </row>
    <row r="151" spans="2:3" x14ac:dyDescent="0.25">
      <c r="C151" s="33"/>
    </row>
  </sheetData>
  <mergeCells count="5">
    <mergeCell ref="B1:C1"/>
    <mergeCell ref="B2:C2"/>
    <mergeCell ref="B3:C3"/>
    <mergeCell ref="B4:B5"/>
    <mergeCell ref="C4:C5"/>
  </mergeCells>
  <pageMargins left="0.70866141732283472" right="0.70866141732283472" top="0.74803149606299213" bottom="0.74803149606299213" header="0.31496062992125984" footer="0.31496062992125984"/>
  <pageSetup scale="39" orientation="portrait" horizontalDpi="4294967293" verticalDpi="4294967293" r:id="rId1"/>
  <ignoredErrors>
    <ignoredError sqref="C21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3"/>
  <sheetViews>
    <sheetView showGridLines="0" topLeftCell="A383" workbookViewId="0">
      <selection activeCell="C390" sqref="C390"/>
    </sheetView>
  </sheetViews>
  <sheetFormatPr baseColWidth="10" defaultRowHeight="15" x14ac:dyDescent="0.25"/>
  <cols>
    <col min="1" max="1" width="12.85546875" bestFit="1" customWidth="1"/>
    <col min="2" max="2" width="64.7109375" customWidth="1"/>
    <col min="3" max="3" width="19.7109375" style="80" customWidth="1"/>
    <col min="4" max="4" width="14.140625" bestFit="1" customWidth="1"/>
  </cols>
  <sheetData>
    <row r="1" spans="1:4" ht="15.75" x14ac:dyDescent="0.25">
      <c r="A1" s="32" t="s">
        <v>190</v>
      </c>
      <c r="B1" s="118" t="s">
        <v>191</v>
      </c>
      <c r="C1" s="116" t="s">
        <v>14</v>
      </c>
      <c r="D1" s="10" t="s">
        <v>216</v>
      </c>
    </row>
    <row r="2" spans="1:4" ht="15.75" x14ac:dyDescent="0.25">
      <c r="A2" s="32" t="s">
        <v>192</v>
      </c>
      <c r="B2" s="32" t="s">
        <v>193</v>
      </c>
      <c r="C2" s="123">
        <v>18149805.07</v>
      </c>
    </row>
    <row r="3" spans="1:4" x14ac:dyDescent="0.25">
      <c r="A3" s="10" t="s">
        <v>194</v>
      </c>
      <c r="B3" s="10" t="s">
        <v>195</v>
      </c>
      <c r="C3" s="124">
        <v>63240150.270000003</v>
      </c>
    </row>
    <row r="4" spans="1:4" x14ac:dyDescent="0.25">
      <c r="A4" s="10" t="s">
        <v>196</v>
      </c>
      <c r="B4" s="10" t="s">
        <v>197</v>
      </c>
      <c r="C4" s="124">
        <v>-575.58000000000004</v>
      </c>
    </row>
    <row r="5" spans="1:4" x14ac:dyDescent="0.25">
      <c r="A5" s="10" t="s">
        <v>198</v>
      </c>
      <c r="B5" s="10" t="s">
        <v>199</v>
      </c>
      <c r="C5" s="124">
        <v>0.01</v>
      </c>
    </row>
    <row r="6" spans="1:4" x14ac:dyDescent="0.25">
      <c r="A6" s="10" t="s">
        <v>200</v>
      </c>
      <c r="B6" s="10" t="s">
        <v>201</v>
      </c>
      <c r="C6" s="124">
        <v>15730000</v>
      </c>
    </row>
    <row r="7" spans="1:4" x14ac:dyDescent="0.25">
      <c r="A7" s="10" t="s">
        <v>202</v>
      </c>
      <c r="B7" s="10" t="s">
        <v>203</v>
      </c>
      <c r="C7" s="124">
        <v>480078.39</v>
      </c>
    </row>
    <row r="8" spans="1:4" x14ac:dyDescent="0.25">
      <c r="A8" s="10" t="s">
        <v>204</v>
      </c>
      <c r="B8" s="10" t="s">
        <v>205</v>
      </c>
      <c r="C8" s="124">
        <v>39603393.060000002</v>
      </c>
    </row>
    <row r="9" spans="1:4" x14ac:dyDescent="0.25">
      <c r="A9" s="10" t="s">
        <v>206</v>
      </c>
      <c r="B9" s="10" t="s">
        <v>207</v>
      </c>
      <c r="C9" s="124">
        <v>1202328</v>
      </c>
    </row>
    <row r="10" spans="1:4" x14ac:dyDescent="0.25">
      <c r="A10" s="10" t="s">
        <v>206</v>
      </c>
      <c r="B10" s="10" t="s">
        <v>207</v>
      </c>
      <c r="C10" s="80">
        <v>1202328</v>
      </c>
    </row>
    <row r="11" spans="1:4" x14ac:dyDescent="0.25">
      <c r="A11" s="10" t="s">
        <v>208</v>
      </c>
      <c r="B11" s="10" t="s">
        <v>209</v>
      </c>
      <c r="C11" s="119">
        <v>20551909.899999999</v>
      </c>
    </row>
    <row r="12" spans="1:4" x14ac:dyDescent="0.25">
      <c r="C12" s="117">
        <f>SUM(C3:C11)</f>
        <v>142009612.05000001</v>
      </c>
    </row>
    <row r="14" spans="1:4" ht="15.75" x14ac:dyDescent="0.25">
      <c r="B14" s="118">
        <v>45821</v>
      </c>
    </row>
    <row r="15" spans="1:4" ht="15.75" x14ac:dyDescent="0.25">
      <c r="A15" s="32" t="s">
        <v>190</v>
      </c>
      <c r="B15" s="32" t="s">
        <v>191</v>
      </c>
      <c r="C15" s="116" t="s">
        <v>14</v>
      </c>
    </row>
    <row r="16" spans="1:4" x14ac:dyDescent="0.25">
      <c r="A16" s="10" t="s">
        <v>192</v>
      </c>
      <c r="B16" s="10" t="s">
        <v>193</v>
      </c>
      <c r="C16" s="80">
        <v>34049055.030000001</v>
      </c>
    </row>
    <row r="17" spans="1:4" x14ac:dyDescent="0.25">
      <c r="A17" s="10" t="s">
        <v>194</v>
      </c>
      <c r="B17" s="10" t="s">
        <v>195</v>
      </c>
      <c r="C17" s="80">
        <v>24843383.620000001</v>
      </c>
    </row>
    <row r="18" spans="1:4" x14ac:dyDescent="0.25">
      <c r="A18" s="10" t="s">
        <v>196</v>
      </c>
      <c r="B18" s="10" t="s">
        <v>197</v>
      </c>
      <c r="C18" s="80">
        <v>-575.58000000000004</v>
      </c>
    </row>
    <row r="19" spans="1:4" x14ac:dyDescent="0.25">
      <c r="A19" s="10" t="s">
        <v>198</v>
      </c>
      <c r="B19" s="10" t="s">
        <v>199</v>
      </c>
      <c r="C19" s="80">
        <v>0.01</v>
      </c>
    </row>
    <row r="20" spans="1:4" x14ac:dyDescent="0.25">
      <c r="A20" s="10" t="s">
        <v>200</v>
      </c>
      <c r="B20" s="10" t="s">
        <v>201</v>
      </c>
      <c r="C20" s="80">
        <v>15730000</v>
      </c>
    </row>
    <row r="21" spans="1:4" x14ac:dyDescent="0.25">
      <c r="A21" s="10" t="s">
        <v>202</v>
      </c>
      <c r="B21" s="10" t="s">
        <v>203</v>
      </c>
      <c r="C21" s="80">
        <v>8311052.25</v>
      </c>
    </row>
    <row r="22" spans="1:4" x14ac:dyDescent="0.25">
      <c r="A22" s="10" t="s">
        <v>204</v>
      </c>
      <c r="B22" s="10" t="s">
        <v>205</v>
      </c>
      <c r="C22" s="80">
        <v>39603393.060000002</v>
      </c>
    </row>
    <row r="23" spans="1:4" x14ac:dyDescent="0.25">
      <c r="A23" s="10" t="s">
        <v>206</v>
      </c>
      <c r="B23" s="10" t="s">
        <v>207</v>
      </c>
      <c r="C23" s="80">
        <v>1202328</v>
      </c>
    </row>
    <row r="24" spans="1:4" x14ac:dyDescent="0.25">
      <c r="C24" s="121">
        <f>SUM(C16:C23)</f>
        <v>123738636.39000002</v>
      </c>
    </row>
    <row r="26" spans="1:4" ht="15.75" x14ac:dyDescent="0.25">
      <c r="B26" s="118">
        <v>45828</v>
      </c>
    </row>
    <row r="27" spans="1:4" ht="15.75" x14ac:dyDescent="0.25">
      <c r="A27" s="32" t="s">
        <v>190</v>
      </c>
      <c r="B27" s="32" t="s">
        <v>191</v>
      </c>
      <c r="C27" s="116" t="s">
        <v>14</v>
      </c>
    </row>
    <row r="28" spans="1:4" x14ac:dyDescent="0.25">
      <c r="A28" s="10" t="s">
        <v>192</v>
      </c>
      <c r="B28" s="10" t="s">
        <v>193</v>
      </c>
      <c r="C28" s="80">
        <f>18149805.07+194.45</f>
        <v>18149999.52</v>
      </c>
      <c r="D28" s="33"/>
    </row>
    <row r="29" spans="1:4" x14ac:dyDescent="0.25">
      <c r="A29" s="10" t="s">
        <v>194</v>
      </c>
      <c r="B29" s="10" t="s">
        <v>195</v>
      </c>
      <c r="C29" s="80">
        <v>7792385.4800000004</v>
      </c>
    </row>
    <row r="30" spans="1:4" x14ac:dyDescent="0.25">
      <c r="A30" s="10" t="s">
        <v>196</v>
      </c>
      <c r="B30" s="10" t="s">
        <v>197</v>
      </c>
      <c r="C30" s="80">
        <v>-575.58000000000004</v>
      </c>
    </row>
    <row r="31" spans="1:4" x14ac:dyDescent="0.25">
      <c r="A31" s="10" t="s">
        <v>198</v>
      </c>
      <c r="B31" s="10" t="s">
        <v>199</v>
      </c>
      <c r="C31" s="80">
        <v>0.01</v>
      </c>
    </row>
    <row r="32" spans="1:4" x14ac:dyDescent="0.25">
      <c r="A32" s="10" t="s">
        <v>200</v>
      </c>
      <c r="B32" s="10" t="s">
        <v>201</v>
      </c>
      <c r="C32" s="80">
        <v>15730000</v>
      </c>
    </row>
    <row r="33" spans="1:3" x14ac:dyDescent="0.25">
      <c r="A33" s="10" t="s">
        <v>202</v>
      </c>
      <c r="B33" s="10" t="s">
        <v>203</v>
      </c>
      <c r="C33" s="80">
        <v>480078.39</v>
      </c>
    </row>
    <row r="34" spans="1:3" x14ac:dyDescent="0.25">
      <c r="A34" s="10" t="s">
        <v>204</v>
      </c>
      <c r="B34" s="10" t="s">
        <v>205</v>
      </c>
      <c r="C34" s="80">
        <v>39603393.060000002</v>
      </c>
    </row>
    <row r="35" spans="1:3" ht="15.75" thickBot="1" x14ac:dyDescent="0.3">
      <c r="A35" s="10" t="s">
        <v>206</v>
      </c>
      <c r="B35" s="10" t="s">
        <v>207</v>
      </c>
      <c r="C35" s="80">
        <v>1202328</v>
      </c>
    </row>
    <row r="36" spans="1:3" x14ac:dyDescent="0.25">
      <c r="C36" s="122">
        <f>SUM(C28:C35)</f>
        <v>82957608.88000001</v>
      </c>
    </row>
    <row r="38" spans="1:3" ht="15.75" x14ac:dyDescent="0.25">
      <c r="B38" s="118">
        <v>45835</v>
      </c>
    </row>
    <row r="39" spans="1:3" ht="15.75" x14ac:dyDescent="0.25">
      <c r="A39" s="32" t="s">
        <v>190</v>
      </c>
      <c r="B39" s="32" t="s">
        <v>191</v>
      </c>
      <c r="C39" s="32" t="s">
        <v>14</v>
      </c>
    </row>
    <row r="40" spans="1:3" x14ac:dyDescent="0.25">
      <c r="A40" s="10" t="s">
        <v>192</v>
      </c>
      <c r="B40" s="10" t="s">
        <v>193</v>
      </c>
      <c r="C40" s="80">
        <v>18149805.07</v>
      </c>
    </row>
    <row r="41" spans="1:3" x14ac:dyDescent="0.25">
      <c r="A41" s="10" t="s">
        <v>194</v>
      </c>
      <c r="B41" s="10" t="s">
        <v>195</v>
      </c>
      <c r="C41" s="80">
        <v>63240150.270000003</v>
      </c>
    </row>
    <row r="42" spans="1:3" x14ac:dyDescent="0.25">
      <c r="A42" s="10" t="s">
        <v>196</v>
      </c>
      <c r="B42" s="10" t="s">
        <v>197</v>
      </c>
      <c r="C42" s="80">
        <v>-575.58000000000004</v>
      </c>
    </row>
    <row r="43" spans="1:3" x14ac:dyDescent="0.25">
      <c r="A43" s="10" t="s">
        <v>198</v>
      </c>
      <c r="B43" s="10" t="s">
        <v>199</v>
      </c>
      <c r="C43" s="80">
        <v>0.01</v>
      </c>
    </row>
    <row r="44" spans="1:3" x14ac:dyDescent="0.25">
      <c r="A44" s="10" t="s">
        <v>200</v>
      </c>
      <c r="B44" s="10" t="s">
        <v>201</v>
      </c>
      <c r="C44" s="80">
        <v>15730000</v>
      </c>
    </row>
    <row r="45" spans="1:3" x14ac:dyDescent="0.25">
      <c r="A45" s="10" t="s">
        <v>202</v>
      </c>
      <c r="B45" s="10" t="s">
        <v>203</v>
      </c>
      <c r="C45" s="80">
        <v>480078.39</v>
      </c>
    </row>
    <row r="46" spans="1:3" x14ac:dyDescent="0.25">
      <c r="A46" s="10" t="s">
        <v>204</v>
      </c>
      <c r="B46" s="10" t="s">
        <v>205</v>
      </c>
      <c r="C46" s="80">
        <v>39603393.060000002</v>
      </c>
    </row>
    <row r="47" spans="1:3" x14ac:dyDescent="0.25">
      <c r="A47" s="10" t="s">
        <v>206</v>
      </c>
      <c r="B47" s="10" t="s">
        <v>207</v>
      </c>
      <c r="C47" s="80">
        <v>1202328</v>
      </c>
    </row>
    <row r="48" spans="1:3" x14ac:dyDescent="0.25">
      <c r="C48" s="117">
        <f>SUM(C40:C47)</f>
        <v>138405179.22000003</v>
      </c>
    </row>
    <row r="50" spans="1:3" ht="15.75" x14ac:dyDescent="0.25">
      <c r="B50" s="118">
        <v>45842</v>
      </c>
    </row>
    <row r="51" spans="1:3" ht="15.75" x14ac:dyDescent="0.25">
      <c r="A51" s="32" t="s">
        <v>190</v>
      </c>
      <c r="B51" s="32" t="s">
        <v>191</v>
      </c>
      <c r="C51" s="32" t="s">
        <v>14</v>
      </c>
    </row>
    <row r="52" spans="1:3" x14ac:dyDescent="0.25">
      <c r="A52" s="10" t="s">
        <v>192</v>
      </c>
      <c r="B52" s="10" t="s">
        <v>193</v>
      </c>
      <c r="C52" s="80">
        <v>34287720.039999999</v>
      </c>
    </row>
    <row r="53" spans="1:3" x14ac:dyDescent="0.25">
      <c r="A53" s="10" t="s">
        <v>194</v>
      </c>
      <c r="B53" s="10" t="s">
        <v>195</v>
      </c>
      <c r="C53" s="80">
        <v>74861344.390000001</v>
      </c>
    </row>
    <row r="54" spans="1:3" x14ac:dyDescent="0.25">
      <c r="A54" s="10" t="s">
        <v>196</v>
      </c>
      <c r="B54" s="10" t="s">
        <v>197</v>
      </c>
      <c r="C54" s="80">
        <v>-575.58000000000004</v>
      </c>
    </row>
    <row r="55" spans="1:3" x14ac:dyDescent="0.25">
      <c r="A55" s="10" t="s">
        <v>198</v>
      </c>
      <c r="B55" s="10" t="s">
        <v>199</v>
      </c>
      <c r="C55" s="80">
        <v>0.01</v>
      </c>
    </row>
    <row r="56" spans="1:3" x14ac:dyDescent="0.25">
      <c r="A56" s="10" t="s">
        <v>200</v>
      </c>
      <c r="B56" s="10" t="s">
        <v>201</v>
      </c>
      <c r="C56" s="80">
        <v>15730000</v>
      </c>
    </row>
    <row r="57" spans="1:3" x14ac:dyDescent="0.25">
      <c r="A57" s="10" t="s">
        <v>202</v>
      </c>
      <c r="B57" s="10" t="s">
        <v>203</v>
      </c>
      <c r="C57" s="80">
        <v>8428603.6699999999</v>
      </c>
    </row>
    <row r="58" spans="1:3" x14ac:dyDescent="0.25">
      <c r="A58" s="10" t="s">
        <v>204</v>
      </c>
      <c r="B58" s="10" t="s">
        <v>205</v>
      </c>
      <c r="C58" s="80">
        <v>17686084.460000001</v>
      </c>
    </row>
    <row r="59" spans="1:3" x14ac:dyDescent="0.25">
      <c r="A59" s="10" t="s">
        <v>206</v>
      </c>
      <c r="B59" s="10" t="s">
        <v>207</v>
      </c>
      <c r="C59" s="80">
        <v>1202328</v>
      </c>
    </row>
    <row r="60" spans="1:3" x14ac:dyDescent="0.25">
      <c r="C60" s="80">
        <f>SUM(C52:C59)</f>
        <v>152195504.99000001</v>
      </c>
    </row>
    <row r="61" spans="1:3" ht="15.75" x14ac:dyDescent="0.25">
      <c r="B61" s="118">
        <v>45849</v>
      </c>
    </row>
    <row r="62" spans="1:3" ht="15.75" x14ac:dyDescent="0.25">
      <c r="A62" s="32" t="s">
        <v>190</v>
      </c>
      <c r="B62" s="32" t="s">
        <v>191</v>
      </c>
      <c r="C62" s="116" t="s">
        <v>14</v>
      </c>
    </row>
    <row r="63" spans="1:3" x14ac:dyDescent="0.25">
      <c r="A63" s="10" t="s">
        <v>192</v>
      </c>
      <c r="B63" s="10" t="s">
        <v>193</v>
      </c>
      <c r="C63" s="80">
        <f>18149805.07+194.45</f>
        <v>18149999.52</v>
      </c>
    </row>
    <row r="64" spans="1:3" x14ac:dyDescent="0.25">
      <c r="A64" s="10" t="s">
        <v>194</v>
      </c>
      <c r="B64" s="10" t="s">
        <v>195</v>
      </c>
      <c r="C64" s="80">
        <v>74861344.390000001</v>
      </c>
    </row>
    <row r="65" spans="1:3" x14ac:dyDescent="0.25">
      <c r="A65" s="10" t="s">
        <v>196</v>
      </c>
      <c r="B65" s="10" t="s">
        <v>197</v>
      </c>
      <c r="C65" s="80">
        <v>-575.58000000000004</v>
      </c>
    </row>
    <row r="66" spans="1:3" x14ac:dyDescent="0.25">
      <c r="A66" s="10" t="s">
        <v>198</v>
      </c>
      <c r="B66" s="10" t="s">
        <v>199</v>
      </c>
      <c r="C66" s="80">
        <v>0.01</v>
      </c>
    </row>
    <row r="67" spans="1:3" x14ac:dyDescent="0.25">
      <c r="A67" s="10" t="s">
        <v>200</v>
      </c>
      <c r="B67" s="10" t="s">
        <v>201</v>
      </c>
      <c r="C67" s="80">
        <v>15730000</v>
      </c>
    </row>
    <row r="68" spans="1:3" x14ac:dyDescent="0.25">
      <c r="A68" s="10" t="s">
        <v>202</v>
      </c>
      <c r="B68" s="10" t="s">
        <v>203</v>
      </c>
      <c r="C68" s="80">
        <v>480078.39</v>
      </c>
    </row>
    <row r="69" spans="1:3" x14ac:dyDescent="0.25">
      <c r="A69" s="10" t="s">
        <v>204</v>
      </c>
      <c r="B69" s="10" t="s">
        <v>205</v>
      </c>
      <c r="C69" s="80">
        <v>17686084.460000001</v>
      </c>
    </row>
    <row r="70" spans="1:3" x14ac:dyDescent="0.25">
      <c r="A70" s="10" t="s">
        <v>206</v>
      </c>
      <c r="B70" s="10" t="s">
        <v>207</v>
      </c>
      <c r="C70" s="80">
        <v>1202328</v>
      </c>
    </row>
    <row r="71" spans="1:3" x14ac:dyDescent="0.25">
      <c r="A71" s="10" t="s">
        <v>232</v>
      </c>
      <c r="B71" s="10" t="s">
        <v>233</v>
      </c>
      <c r="C71" s="80">
        <v>7160000</v>
      </c>
    </row>
    <row r="72" spans="1:3" x14ac:dyDescent="0.25">
      <c r="A72" s="10" t="s">
        <v>208</v>
      </c>
      <c r="B72" s="10" t="s">
        <v>209</v>
      </c>
      <c r="C72" s="80">
        <v>4783502.68</v>
      </c>
    </row>
    <row r="73" spans="1:3" x14ac:dyDescent="0.25">
      <c r="C73" s="126">
        <f>SUM(C63:C72)</f>
        <v>140052761.87</v>
      </c>
    </row>
    <row r="74" spans="1:3" x14ac:dyDescent="0.25">
      <c r="B74" s="127">
        <v>45856</v>
      </c>
    </row>
    <row r="75" spans="1:3" ht="15.75" x14ac:dyDescent="0.25">
      <c r="A75" s="32" t="s">
        <v>190</v>
      </c>
      <c r="B75" s="32" t="s">
        <v>191</v>
      </c>
      <c r="C75" s="116" t="s">
        <v>14</v>
      </c>
    </row>
    <row r="76" spans="1:3" x14ac:dyDescent="0.25">
      <c r="A76" s="10" t="s">
        <v>239</v>
      </c>
      <c r="B76" s="10" t="s">
        <v>240</v>
      </c>
      <c r="C76" s="80">
        <f>42776989.22+194.45</f>
        <v>42777183.670000002</v>
      </c>
    </row>
    <row r="77" spans="1:3" x14ac:dyDescent="0.25">
      <c r="A77" s="10" t="s">
        <v>192</v>
      </c>
      <c r="B77" s="10" t="s">
        <v>193</v>
      </c>
      <c r="C77" s="80">
        <v>18149805.07</v>
      </c>
    </row>
    <row r="78" spans="1:3" x14ac:dyDescent="0.25">
      <c r="A78" s="10" t="s">
        <v>241</v>
      </c>
      <c r="B78" s="10" t="s">
        <v>242</v>
      </c>
      <c r="C78" s="80">
        <v>1748371.35</v>
      </c>
    </row>
    <row r="79" spans="1:3" x14ac:dyDescent="0.25">
      <c r="A79" s="10" t="s">
        <v>194</v>
      </c>
      <c r="B79" s="10" t="s">
        <v>195</v>
      </c>
      <c r="C79" s="80">
        <v>61825047.600000001</v>
      </c>
    </row>
    <row r="80" spans="1:3" x14ac:dyDescent="0.25">
      <c r="A80" s="10" t="s">
        <v>196</v>
      </c>
      <c r="B80" s="10" t="s">
        <v>197</v>
      </c>
      <c r="C80" s="80">
        <v>-575.58000000000004</v>
      </c>
    </row>
    <row r="81" spans="1:3" x14ac:dyDescent="0.25">
      <c r="A81" s="10" t="s">
        <v>198</v>
      </c>
      <c r="B81" s="10" t="s">
        <v>199</v>
      </c>
      <c r="C81" s="80">
        <v>0.01</v>
      </c>
    </row>
    <row r="82" spans="1:3" x14ac:dyDescent="0.25">
      <c r="A82" s="10" t="s">
        <v>200</v>
      </c>
      <c r="B82" s="10" t="s">
        <v>201</v>
      </c>
      <c r="C82" s="80">
        <v>15730000</v>
      </c>
    </row>
    <row r="83" spans="1:3" x14ac:dyDescent="0.25">
      <c r="A83" s="10" t="s">
        <v>202</v>
      </c>
      <c r="B83" s="10" t="s">
        <v>203</v>
      </c>
      <c r="C83" s="80">
        <v>480078.39</v>
      </c>
    </row>
    <row r="84" spans="1:3" x14ac:dyDescent="0.25">
      <c r="A84" s="10" t="s">
        <v>204</v>
      </c>
      <c r="B84" s="10" t="s">
        <v>205</v>
      </c>
      <c r="C84" s="80">
        <v>17686084.460000001</v>
      </c>
    </row>
    <row r="85" spans="1:3" x14ac:dyDescent="0.25">
      <c r="A85" s="10" t="s">
        <v>206</v>
      </c>
      <c r="B85" s="10" t="s">
        <v>207</v>
      </c>
      <c r="C85" s="80">
        <v>1202328</v>
      </c>
    </row>
    <row r="86" spans="1:3" x14ac:dyDescent="0.25">
      <c r="A86" s="10" t="s">
        <v>232</v>
      </c>
      <c r="B86" s="10" t="s">
        <v>233</v>
      </c>
      <c r="C86" s="80">
        <v>7160000</v>
      </c>
    </row>
    <row r="87" spans="1:3" x14ac:dyDescent="0.25">
      <c r="A87" s="10" t="s">
        <v>208</v>
      </c>
      <c r="B87" s="10" t="s">
        <v>209</v>
      </c>
      <c r="C87" s="80">
        <v>4783502.68</v>
      </c>
    </row>
    <row r="88" spans="1:3" x14ac:dyDescent="0.25">
      <c r="C88" s="80">
        <f>SUM(C76:C87)</f>
        <v>171541825.65000001</v>
      </c>
    </row>
    <row r="89" spans="1:3" x14ac:dyDescent="0.25">
      <c r="B89" s="127">
        <v>45866</v>
      </c>
    </row>
    <row r="90" spans="1:3" ht="15.75" x14ac:dyDescent="0.25">
      <c r="A90" s="32" t="s">
        <v>190</v>
      </c>
      <c r="B90" s="32" t="s">
        <v>191</v>
      </c>
      <c r="C90" s="116" t="s">
        <v>14</v>
      </c>
    </row>
    <row r="91" spans="1:3" x14ac:dyDescent="0.25">
      <c r="A91" s="10" t="s">
        <v>239</v>
      </c>
      <c r="B91" s="10" t="s">
        <v>240</v>
      </c>
      <c r="C91" s="80">
        <f>42776989.22+194.45</f>
        <v>42777183.670000002</v>
      </c>
    </row>
    <row r="92" spans="1:3" x14ac:dyDescent="0.25">
      <c r="A92" s="10" t="s">
        <v>192</v>
      </c>
      <c r="B92" s="10" t="s">
        <v>193</v>
      </c>
      <c r="C92" s="80">
        <v>18149805.07</v>
      </c>
    </row>
    <row r="93" spans="1:3" x14ac:dyDescent="0.25">
      <c r="A93" s="10" t="s">
        <v>194</v>
      </c>
      <c r="B93" s="10" t="s">
        <v>195</v>
      </c>
      <c r="C93" s="80">
        <v>52046187.310000002</v>
      </c>
    </row>
    <row r="94" spans="1:3" x14ac:dyDescent="0.25">
      <c r="A94" s="10" t="s">
        <v>196</v>
      </c>
      <c r="B94" s="10" t="s">
        <v>197</v>
      </c>
      <c r="C94" s="80">
        <v>-575.58000000000004</v>
      </c>
    </row>
    <row r="95" spans="1:3" x14ac:dyDescent="0.25">
      <c r="A95" s="10" t="s">
        <v>198</v>
      </c>
      <c r="B95" s="10" t="s">
        <v>199</v>
      </c>
      <c r="C95" s="80">
        <v>0.01</v>
      </c>
    </row>
    <row r="96" spans="1:3" x14ac:dyDescent="0.25">
      <c r="A96" s="10" t="s">
        <v>200</v>
      </c>
      <c r="B96" s="10" t="s">
        <v>201</v>
      </c>
      <c r="C96" s="80">
        <v>15730000</v>
      </c>
    </row>
    <row r="97" spans="1:3" x14ac:dyDescent="0.25">
      <c r="A97" s="10" t="s">
        <v>202</v>
      </c>
      <c r="B97" s="10" t="s">
        <v>203</v>
      </c>
      <c r="C97" s="80">
        <v>480078.39</v>
      </c>
    </row>
    <row r="98" spans="1:3" x14ac:dyDescent="0.25">
      <c r="A98" s="10" t="s">
        <v>204</v>
      </c>
      <c r="B98" s="10" t="s">
        <v>205</v>
      </c>
      <c r="C98" s="80">
        <v>17686084.460000001</v>
      </c>
    </row>
    <row r="99" spans="1:3" x14ac:dyDescent="0.25">
      <c r="A99" s="10" t="s">
        <v>206</v>
      </c>
      <c r="B99" s="10" t="s">
        <v>207</v>
      </c>
      <c r="C99" s="80">
        <v>1202328</v>
      </c>
    </row>
    <row r="100" spans="1:3" x14ac:dyDescent="0.25">
      <c r="A100" s="10" t="s">
        <v>232</v>
      </c>
      <c r="B100" s="10" t="s">
        <v>233</v>
      </c>
      <c r="C100" s="80">
        <v>20632937.640000001</v>
      </c>
    </row>
    <row r="101" spans="1:3" x14ac:dyDescent="0.25">
      <c r="A101" s="10" t="s">
        <v>208</v>
      </c>
      <c r="B101" s="10" t="s">
        <v>209</v>
      </c>
      <c r="C101" s="80">
        <v>8579339.2300000004</v>
      </c>
    </row>
    <row r="102" spans="1:3" x14ac:dyDescent="0.25">
      <c r="C102" s="80">
        <f>SUM(C91:C101)</f>
        <v>177283368.20000002</v>
      </c>
    </row>
    <row r="103" spans="1:3" x14ac:dyDescent="0.25">
      <c r="B103" s="127">
        <v>45870</v>
      </c>
    </row>
    <row r="105" spans="1:3" ht="15.75" x14ac:dyDescent="0.25">
      <c r="A105" s="32" t="s">
        <v>190</v>
      </c>
      <c r="B105" s="32" t="s">
        <v>191</v>
      </c>
      <c r="C105" s="116" t="s">
        <v>14</v>
      </c>
    </row>
    <row r="106" spans="1:3" x14ac:dyDescent="0.25">
      <c r="A106" s="10" t="s">
        <v>239</v>
      </c>
      <c r="B106" s="10" t="s">
        <v>240</v>
      </c>
      <c r="C106" s="80">
        <f>42776989.22+194.45</f>
        <v>42777183.670000002</v>
      </c>
    </row>
    <row r="107" spans="1:3" x14ac:dyDescent="0.25">
      <c r="A107" s="10" t="s">
        <v>192</v>
      </c>
      <c r="B107" s="10" t="s">
        <v>193</v>
      </c>
      <c r="C107" s="80">
        <v>75164805.090000004</v>
      </c>
    </row>
    <row r="108" spans="1:3" x14ac:dyDescent="0.25">
      <c r="A108" s="10" t="s">
        <v>194</v>
      </c>
      <c r="B108" s="10" t="s">
        <v>195</v>
      </c>
      <c r="C108" s="80">
        <v>53034454.810000002</v>
      </c>
    </row>
    <row r="109" spans="1:3" x14ac:dyDescent="0.25">
      <c r="A109" s="10" t="s">
        <v>196</v>
      </c>
      <c r="B109" s="10" t="s">
        <v>197</v>
      </c>
      <c r="C109" s="80">
        <v>-575.58000000000004</v>
      </c>
    </row>
    <row r="110" spans="1:3" x14ac:dyDescent="0.25">
      <c r="A110" s="10" t="s">
        <v>198</v>
      </c>
      <c r="B110" s="10" t="s">
        <v>199</v>
      </c>
      <c r="C110" s="80">
        <v>0.01</v>
      </c>
    </row>
    <row r="111" spans="1:3" x14ac:dyDescent="0.25">
      <c r="A111" s="10" t="s">
        <v>200</v>
      </c>
      <c r="B111" s="10" t="s">
        <v>201</v>
      </c>
      <c r="C111" s="80">
        <v>15730000</v>
      </c>
    </row>
    <row r="112" spans="1:3" x14ac:dyDescent="0.25">
      <c r="A112" s="10" t="s">
        <v>202</v>
      </c>
      <c r="B112" s="10" t="s">
        <v>203</v>
      </c>
      <c r="C112" s="80">
        <v>6640078.3899999997</v>
      </c>
    </row>
    <row r="113" spans="1:3" x14ac:dyDescent="0.25">
      <c r="A113" s="10" t="s">
        <v>204</v>
      </c>
      <c r="B113" s="10" t="s">
        <v>205</v>
      </c>
      <c r="C113" s="80">
        <v>17686084.460000001</v>
      </c>
    </row>
    <row r="114" spans="1:3" x14ac:dyDescent="0.25">
      <c r="A114" s="10" t="s">
        <v>206</v>
      </c>
      <c r="B114" s="10" t="s">
        <v>207</v>
      </c>
      <c r="C114" s="80">
        <v>1202328</v>
      </c>
    </row>
    <row r="115" spans="1:3" x14ac:dyDescent="0.25">
      <c r="A115" s="10" t="s">
        <v>232</v>
      </c>
      <c r="B115" s="10" t="s">
        <v>233</v>
      </c>
      <c r="C115" s="80">
        <v>13472937.640000001</v>
      </c>
    </row>
    <row r="116" spans="1:3" x14ac:dyDescent="0.25">
      <c r="A116" s="10" t="s">
        <v>208</v>
      </c>
      <c r="B116" s="10" t="s">
        <v>209</v>
      </c>
      <c r="C116" s="80">
        <v>8579339.2300000004</v>
      </c>
    </row>
    <row r="117" spans="1:3" x14ac:dyDescent="0.25">
      <c r="C117" s="80">
        <f>SUM(C106:C116)</f>
        <v>234286635.71999994</v>
      </c>
    </row>
    <row r="119" spans="1:3" x14ac:dyDescent="0.25">
      <c r="B119" s="127">
        <v>45877</v>
      </c>
    </row>
    <row r="120" spans="1:3" ht="15.75" x14ac:dyDescent="0.25">
      <c r="A120" s="32" t="s">
        <v>190</v>
      </c>
      <c r="B120" s="32" t="s">
        <v>191</v>
      </c>
      <c r="C120" s="116" t="s">
        <v>14</v>
      </c>
    </row>
    <row r="121" spans="1:3" x14ac:dyDescent="0.25">
      <c r="A121" s="10" t="s">
        <v>239</v>
      </c>
      <c r="B121" s="10" t="s">
        <v>240</v>
      </c>
      <c r="C121" s="80">
        <f>42776989.22+194.95</f>
        <v>42777184.170000002</v>
      </c>
    </row>
    <row r="122" spans="1:3" x14ac:dyDescent="0.25">
      <c r="A122" s="10" t="s">
        <v>192</v>
      </c>
      <c r="B122" s="10" t="s">
        <v>193</v>
      </c>
      <c r="C122" s="80">
        <v>46657305.090000004</v>
      </c>
    </row>
    <row r="123" spans="1:3" x14ac:dyDescent="0.25">
      <c r="A123" s="10" t="s">
        <v>194</v>
      </c>
      <c r="B123" s="10" t="s">
        <v>195</v>
      </c>
      <c r="C123" s="80">
        <v>53034454.810000002</v>
      </c>
    </row>
    <row r="124" spans="1:3" x14ac:dyDescent="0.25">
      <c r="A124" s="10" t="s">
        <v>196</v>
      </c>
      <c r="B124" s="10" t="s">
        <v>197</v>
      </c>
      <c r="C124" s="80">
        <v>-575.58000000000004</v>
      </c>
    </row>
    <row r="125" spans="1:3" x14ac:dyDescent="0.25">
      <c r="A125" s="10" t="s">
        <v>198</v>
      </c>
      <c r="B125" s="10" t="s">
        <v>199</v>
      </c>
      <c r="C125" s="80">
        <v>0.01</v>
      </c>
    </row>
    <row r="126" spans="1:3" x14ac:dyDescent="0.25">
      <c r="A126" s="10" t="s">
        <v>200</v>
      </c>
      <c r="B126" s="10" t="s">
        <v>201</v>
      </c>
      <c r="C126" s="80">
        <v>15730000</v>
      </c>
    </row>
    <row r="127" spans="1:3" x14ac:dyDescent="0.25">
      <c r="A127" s="10" t="s">
        <v>202</v>
      </c>
      <c r="B127" s="10" t="s">
        <v>203</v>
      </c>
      <c r="C127" s="80">
        <v>3560078.39</v>
      </c>
    </row>
    <row r="128" spans="1:3" x14ac:dyDescent="0.25">
      <c r="A128" s="10" t="s">
        <v>204</v>
      </c>
      <c r="B128" s="10" t="s">
        <v>205</v>
      </c>
      <c r="C128" s="80">
        <v>17686084.460000001</v>
      </c>
    </row>
    <row r="129" spans="1:3" x14ac:dyDescent="0.25">
      <c r="A129" s="10" t="s">
        <v>206</v>
      </c>
      <c r="B129" s="10" t="s">
        <v>207</v>
      </c>
      <c r="C129" s="80">
        <v>1202328</v>
      </c>
    </row>
    <row r="130" spans="1:3" x14ac:dyDescent="0.25">
      <c r="A130" s="10" t="s">
        <v>232</v>
      </c>
      <c r="B130" s="10" t="s">
        <v>233</v>
      </c>
      <c r="C130" s="80">
        <v>13472937.640000001</v>
      </c>
    </row>
    <row r="131" spans="1:3" x14ac:dyDescent="0.25">
      <c r="A131" s="10" t="s">
        <v>208</v>
      </c>
      <c r="B131" s="10" t="s">
        <v>209</v>
      </c>
      <c r="C131" s="80">
        <v>8579339.2300000004</v>
      </c>
    </row>
    <row r="132" spans="1:3" x14ac:dyDescent="0.25">
      <c r="C132" s="80">
        <f>SUM(C121:C131)</f>
        <v>202699136.21999994</v>
      </c>
    </row>
    <row r="134" spans="1:3" x14ac:dyDescent="0.25">
      <c r="B134" s="127">
        <v>45887</v>
      </c>
    </row>
    <row r="136" spans="1:3" ht="15.75" x14ac:dyDescent="0.25">
      <c r="A136" s="32" t="s">
        <v>190</v>
      </c>
      <c r="B136" s="32" t="s">
        <v>191</v>
      </c>
      <c r="C136" s="116" t="s">
        <v>14</v>
      </c>
    </row>
    <row r="137" spans="1:3" x14ac:dyDescent="0.25">
      <c r="A137" s="10" t="s">
        <v>239</v>
      </c>
      <c r="B137" s="10" t="s">
        <v>240</v>
      </c>
      <c r="C137" s="80">
        <v>21388494.609999999</v>
      </c>
    </row>
    <row r="138" spans="1:3" x14ac:dyDescent="0.25">
      <c r="A138" s="10" t="s">
        <v>192</v>
      </c>
      <c r="B138" s="10" t="s">
        <v>193</v>
      </c>
      <c r="C138" s="80">
        <f>18149805.07+194.5</f>
        <v>18149999.57</v>
      </c>
    </row>
    <row r="139" spans="1:3" x14ac:dyDescent="0.25">
      <c r="A139" s="10" t="s">
        <v>194</v>
      </c>
      <c r="B139" s="10" t="s">
        <v>195</v>
      </c>
      <c r="C139" s="80">
        <v>53034454.810000002</v>
      </c>
    </row>
    <row r="140" spans="1:3" x14ac:dyDescent="0.25">
      <c r="A140" s="10" t="s">
        <v>196</v>
      </c>
      <c r="B140" s="10" t="s">
        <v>197</v>
      </c>
      <c r="C140" s="80">
        <v>-575.58000000000004</v>
      </c>
    </row>
    <row r="141" spans="1:3" x14ac:dyDescent="0.25">
      <c r="A141" s="10" t="s">
        <v>198</v>
      </c>
      <c r="B141" s="10" t="s">
        <v>199</v>
      </c>
      <c r="C141" s="80">
        <v>0.01</v>
      </c>
    </row>
    <row r="142" spans="1:3" x14ac:dyDescent="0.25">
      <c r="A142" s="10" t="s">
        <v>200</v>
      </c>
      <c r="B142" s="10" t="s">
        <v>201</v>
      </c>
      <c r="C142" s="80">
        <v>15730000</v>
      </c>
    </row>
    <row r="143" spans="1:3" x14ac:dyDescent="0.25">
      <c r="A143" s="10" t="s">
        <v>202</v>
      </c>
      <c r="B143" s="10" t="s">
        <v>203</v>
      </c>
      <c r="C143" s="80">
        <v>480078.39</v>
      </c>
    </row>
    <row r="144" spans="1:3" x14ac:dyDescent="0.25">
      <c r="A144" s="10" t="s">
        <v>204</v>
      </c>
      <c r="B144" s="10" t="s">
        <v>205</v>
      </c>
      <c r="C144" s="80">
        <v>17686084.460000001</v>
      </c>
    </row>
    <row r="145" spans="1:3" x14ac:dyDescent="0.25">
      <c r="A145" s="10" t="s">
        <v>206</v>
      </c>
      <c r="B145" s="10" t="s">
        <v>207</v>
      </c>
      <c r="C145" s="80">
        <v>1202328</v>
      </c>
    </row>
    <row r="146" spans="1:3" x14ac:dyDescent="0.25">
      <c r="A146" s="10" t="s">
        <v>232</v>
      </c>
      <c r="B146" s="10" t="s">
        <v>233</v>
      </c>
      <c r="C146" s="80">
        <v>13472937.640000001</v>
      </c>
    </row>
    <row r="147" spans="1:3" x14ac:dyDescent="0.25">
      <c r="A147" s="10" t="s">
        <v>208</v>
      </c>
      <c r="B147" s="10" t="s">
        <v>209</v>
      </c>
      <c r="C147" s="80">
        <v>6006623.9199999999</v>
      </c>
    </row>
    <row r="148" spans="1:3" x14ac:dyDescent="0.25">
      <c r="C148" s="80">
        <f>SUM(C137:C147)</f>
        <v>147150425.83000001</v>
      </c>
    </row>
    <row r="150" spans="1:3" x14ac:dyDescent="0.25">
      <c r="B150" s="134">
        <v>45901</v>
      </c>
    </row>
    <row r="152" spans="1:3" ht="15.75" x14ac:dyDescent="0.25">
      <c r="A152" s="32" t="s">
        <v>190</v>
      </c>
      <c r="B152" s="32" t="s">
        <v>191</v>
      </c>
      <c r="C152" s="116" t="s">
        <v>14</v>
      </c>
    </row>
    <row r="153" spans="1:3" x14ac:dyDescent="0.25">
      <c r="A153" s="10" t="s">
        <v>239</v>
      </c>
      <c r="B153" s="10" t="s">
        <v>240</v>
      </c>
      <c r="C153" s="80">
        <v>21388494.609999999</v>
      </c>
    </row>
    <row r="154" spans="1:3" x14ac:dyDescent="0.25">
      <c r="A154" s="10" t="s">
        <v>192</v>
      </c>
      <c r="B154" s="10" t="s">
        <v>193</v>
      </c>
      <c r="C154" s="80">
        <f>99345279.65+194.5</f>
        <v>99345474.150000006</v>
      </c>
    </row>
    <row r="155" spans="1:3" x14ac:dyDescent="0.25">
      <c r="A155" s="10" t="s">
        <v>194</v>
      </c>
      <c r="B155" s="10" t="s">
        <v>195</v>
      </c>
      <c r="C155" s="80">
        <v>53034454.810000002</v>
      </c>
    </row>
    <row r="156" spans="1:3" x14ac:dyDescent="0.25">
      <c r="A156" s="10" t="s">
        <v>196</v>
      </c>
      <c r="B156" s="10" t="s">
        <v>197</v>
      </c>
      <c r="C156" s="80">
        <v>-575.58000000000004</v>
      </c>
    </row>
    <row r="157" spans="1:3" x14ac:dyDescent="0.25">
      <c r="A157" s="10" t="s">
        <v>198</v>
      </c>
      <c r="B157" s="10" t="s">
        <v>199</v>
      </c>
      <c r="C157" s="80">
        <v>0.01</v>
      </c>
    </row>
    <row r="158" spans="1:3" x14ac:dyDescent="0.25">
      <c r="A158" s="10" t="s">
        <v>200</v>
      </c>
      <c r="B158" s="10" t="s">
        <v>201</v>
      </c>
      <c r="C158" s="80">
        <v>15730000</v>
      </c>
    </row>
    <row r="159" spans="1:3" x14ac:dyDescent="0.25">
      <c r="A159" s="10" t="s">
        <v>202</v>
      </c>
      <c r="B159" s="10" t="s">
        <v>203</v>
      </c>
      <c r="C159" s="80">
        <v>8226338.6699999999</v>
      </c>
    </row>
    <row r="160" spans="1:3" x14ac:dyDescent="0.25">
      <c r="A160" s="10" t="s">
        <v>204</v>
      </c>
      <c r="B160" s="10" t="s">
        <v>205</v>
      </c>
      <c r="C160" s="80">
        <v>17686084.460000001</v>
      </c>
    </row>
    <row r="161" spans="1:3" x14ac:dyDescent="0.25">
      <c r="A161" s="10" t="s">
        <v>276</v>
      </c>
      <c r="B161" s="10" t="s">
        <v>277</v>
      </c>
      <c r="C161" s="80">
        <v>2640027.61</v>
      </c>
    </row>
    <row r="162" spans="1:3" x14ac:dyDescent="0.25">
      <c r="A162" s="10" t="s">
        <v>206</v>
      </c>
      <c r="B162" s="10" t="s">
        <v>207</v>
      </c>
      <c r="C162" s="80">
        <v>1202328</v>
      </c>
    </row>
    <row r="163" spans="1:3" x14ac:dyDescent="0.25">
      <c r="A163" s="10" t="s">
        <v>208</v>
      </c>
      <c r="B163" s="10" t="s">
        <v>209</v>
      </c>
      <c r="C163" s="80">
        <v>25335412.57</v>
      </c>
    </row>
    <row r="164" spans="1:3" x14ac:dyDescent="0.25">
      <c r="C164" s="80">
        <f>SUM(C153:C163)</f>
        <v>244588039.30999997</v>
      </c>
    </row>
    <row r="165" spans="1:3" x14ac:dyDescent="0.25">
      <c r="B165" s="127">
        <v>45908</v>
      </c>
    </row>
    <row r="166" spans="1:3" ht="15.75" x14ac:dyDescent="0.25">
      <c r="A166" s="32" t="s">
        <v>190</v>
      </c>
      <c r="B166" s="32" t="s">
        <v>191</v>
      </c>
      <c r="C166" s="116" t="s">
        <v>14</v>
      </c>
    </row>
    <row r="167" spans="1:3" x14ac:dyDescent="0.25">
      <c r="A167" s="10" t="s">
        <v>239</v>
      </c>
      <c r="B167" s="10" t="s">
        <v>240</v>
      </c>
      <c r="C167" s="80">
        <v>21388494.609999999</v>
      </c>
    </row>
    <row r="168" spans="1:3" x14ac:dyDescent="0.25">
      <c r="A168" s="10" t="s">
        <v>192</v>
      </c>
      <c r="B168" s="10" t="s">
        <v>193</v>
      </c>
      <c r="C168" s="80">
        <f>49522542.62+194.5</f>
        <v>49522737.119999997</v>
      </c>
    </row>
    <row r="169" spans="1:3" x14ac:dyDescent="0.25">
      <c r="A169" s="10" t="s">
        <v>194</v>
      </c>
      <c r="B169" s="10" t="s">
        <v>195</v>
      </c>
      <c r="C169" s="80">
        <v>53034454.810000002</v>
      </c>
    </row>
    <row r="170" spans="1:3" x14ac:dyDescent="0.25">
      <c r="A170" s="10" t="s">
        <v>196</v>
      </c>
      <c r="B170" s="10" t="s">
        <v>197</v>
      </c>
      <c r="C170" s="80">
        <v>-575.58000000000004</v>
      </c>
    </row>
    <row r="171" spans="1:3" x14ac:dyDescent="0.25">
      <c r="A171" s="10" t="s">
        <v>198</v>
      </c>
      <c r="B171" s="10" t="s">
        <v>199</v>
      </c>
      <c r="C171" s="80">
        <v>0.01</v>
      </c>
    </row>
    <row r="172" spans="1:3" x14ac:dyDescent="0.25">
      <c r="A172" s="10" t="s">
        <v>200</v>
      </c>
      <c r="B172" s="10" t="s">
        <v>201</v>
      </c>
      <c r="C172" s="80">
        <v>15730000</v>
      </c>
    </row>
    <row r="173" spans="1:3" x14ac:dyDescent="0.25">
      <c r="A173" s="10" t="s">
        <v>202</v>
      </c>
      <c r="B173" s="10" t="s">
        <v>203</v>
      </c>
      <c r="C173" s="80">
        <v>4353208.53</v>
      </c>
    </row>
    <row r="174" spans="1:3" x14ac:dyDescent="0.25">
      <c r="A174" s="10" t="s">
        <v>204</v>
      </c>
      <c r="B174" s="10" t="s">
        <v>205</v>
      </c>
      <c r="C174" s="80">
        <v>17686084.460000001</v>
      </c>
    </row>
    <row r="175" spans="1:3" x14ac:dyDescent="0.25">
      <c r="A175" s="10" t="s">
        <v>206</v>
      </c>
      <c r="B175" s="10" t="s">
        <v>207</v>
      </c>
      <c r="C175" s="80">
        <v>1202328</v>
      </c>
    </row>
    <row r="176" spans="1:3" x14ac:dyDescent="0.25">
      <c r="A176" s="10" t="s">
        <v>208</v>
      </c>
      <c r="B176" s="10" t="s">
        <v>209</v>
      </c>
      <c r="C176" s="80">
        <v>20551909.890000001</v>
      </c>
    </row>
    <row r="177" spans="1:3" x14ac:dyDescent="0.25">
      <c r="C177" s="80">
        <f>SUM(C167:C176)</f>
        <v>183468641.85000002</v>
      </c>
    </row>
    <row r="179" spans="1:3" x14ac:dyDescent="0.25">
      <c r="C179" s="134">
        <v>45912</v>
      </c>
    </row>
    <row r="180" spans="1:3" ht="15.75" x14ac:dyDescent="0.25">
      <c r="A180" s="32" t="s">
        <v>190</v>
      </c>
      <c r="B180" s="32" t="s">
        <v>191</v>
      </c>
      <c r="C180" s="116" t="s">
        <v>14</v>
      </c>
    </row>
    <row r="181" spans="1:3" x14ac:dyDescent="0.25">
      <c r="A181" s="10" t="s">
        <v>239</v>
      </c>
      <c r="B181" s="10" t="s">
        <v>240</v>
      </c>
      <c r="C181" s="80">
        <v>21388494.609999999</v>
      </c>
    </row>
    <row r="182" spans="1:3" x14ac:dyDescent="0.25">
      <c r="A182" s="10" t="s">
        <v>192</v>
      </c>
      <c r="B182" s="10" t="s">
        <v>193</v>
      </c>
      <c r="C182" s="80">
        <f>8924805.32+194.5</f>
        <v>8924999.8200000003</v>
      </c>
    </row>
    <row r="183" spans="1:3" x14ac:dyDescent="0.25">
      <c r="A183" s="10" t="s">
        <v>194</v>
      </c>
      <c r="B183" s="10" t="s">
        <v>195</v>
      </c>
      <c r="C183" s="80">
        <v>53034454.810000002</v>
      </c>
    </row>
    <row r="184" spans="1:3" x14ac:dyDescent="0.25">
      <c r="A184" s="10" t="s">
        <v>196</v>
      </c>
      <c r="B184" s="10" t="s">
        <v>197</v>
      </c>
      <c r="C184" s="80">
        <v>-575.58000000000004</v>
      </c>
    </row>
    <row r="185" spans="1:3" x14ac:dyDescent="0.25">
      <c r="A185" s="10" t="s">
        <v>198</v>
      </c>
      <c r="B185" s="10" t="s">
        <v>199</v>
      </c>
      <c r="C185" s="80">
        <v>0.01</v>
      </c>
    </row>
    <row r="186" spans="1:3" x14ac:dyDescent="0.25">
      <c r="A186" s="10" t="s">
        <v>200</v>
      </c>
      <c r="B186" s="10" t="s">
        <v>201</v>
      </c>
      <c r="C186" s="80">
        <v>15730000</v>
      </c>
    </row>
    <row r="187" spans="1:3" x14ac:dyDescent="0.25">
      <c r="A187" s="10" t="s">
        <v>202</v>
      </c>
      <c r="B187" s="10" t="s">
        <v>203</v>
      </c>
      <c r="C187" s="80">
        <v>480078.39</v>
      </c>
    </row>
    <row r="188" spans="1:3" x14ac:dyDescent="0.25">
      <c r="A188" s="10" t="s">
        <v>204</v>
      </c>
      <c r="B188" s="10" t="s">
        <v>205</v>
      </c>
      <c r="C188" s="80">
        <v>17686084.460000001</v>
      </c>
    </row>
    <row r="189" spans="1:3" x14ac:dyDescent="0.25">
      <c r="A189" s="10" t="s">
        <v>206</v>
      </c>
      <c r="B189" s="10" t="s">
        <v>207</v>
      </c>
      <c r="C189" s="80">
        <v>1202328</v>
      </c>
    </row>
    <row r="190" spans="1:3" x14ac:dyDescent="0.25">
      <c r="A190" s="10" t="s">
        <v>208</v>
      </c>
      <c r="B190" s="10" t="s">
        <v>209</v>
      </c>
      <c r="C190" s="80">
        <v>20551909.890000001</v>
      </c>
    </row>
    <row r="191" spans="1:3" x14ac:dyDescent="0.25">
      <c r="C191" s="80">
        <f>SUM(C181:C190)</f>
        <v>138997774.41000003</v>
      </c>
    </row>
    <row r="192" spans="1:3" s="135" customFormat="1" x14ac:dyDescent="0.25"/>
    <row r="193" spans="1:3" x14ac:dyDescent="0.25">
      <c r="C193" s="136">
        <v>45922</v>
      </c>
    </row>
    <row r="194" spans="1:3" ht="15.75" x14ac:dyDescent="0.25">
      <c r="A194" s="32" t="s">
        <v>190</v>
      </c>
      <c r="B194" s="32" t="s">
        <v>191</v>
      </c>
      <c r="C194" s="116" t="s">
        <v>14</v>
      </c>
    </row>
    <row r="195" spans="1:3" x14ac:dyDescent="0.25">
      <c r="A195" s="10" t="s">
        <v>239</v>
      </c>
      <c r="B195" s="10" t="s">
        <v>240</v>
      </c>
      <c r="C195" s="80">
        <v>21388494.609999999</v>
      </c>
    </row>
    <row r="196" spans="1:3" x14ac:dyDescent="0.25">
      <c r="A196" s="10" t="s">
        <v>196</v>
      </c>
      <c r="B196" s="10" t="s">
        <v>197</v>
      </c>
      <c r="C196" s="80">
        <v>-575.58000000000004</v>
      </c>
    </row>
    <row r="197" spans="1:3" x14ac:dyDescent="0.25">
      <c r="A197" s="10" t="s">
        <v>198</v>
      </c>
      <c r="B197" s="10" t="s">
        <v>199</v>
      </c>
      <c r="C197" s="80">
        <v>0.01</v>
      </c>
    </row>
    <row r="198" spans="1:3" x14ac:dyDescent="0.25">
      <c r="A198" s="10" t="s">
        <v>200</v>
      </c>
      <c r="B198" s="10" t="s">
        <v>201</v>
      </c>
      <c r="C198" s="80">
        <v>15730000</v>
      </c>
    </row>
    <row r="199" spans="1:3" x14ac:dyDescent="0.25">
      <c r="A199" s="10" t="s">
        <v>202</v>
      </c>
      <c r="B199" s="10" t="s">
        <v>203</v>
      </c>
      <c r="C199" s="80">
        <v>480078.39</v>
      </c>
    </row>
    <row r="200" spans="1:3" x14ac:dyDescent="0.25">
      <c r="A200" s="10" t="s">
        <v>204</v>
      </c>
      <c r="B200" s="10" t="s">
        <v>205</v>
      </c>
      <c r="C200" s="80">
        <v>17686084.460000001</v>
      </c>
    </row>
    <row r="201" spans="1:3" x14ac:dyDescent="0.25">
      <c r="A201" s="10" t="s">
        <v>206</v>
      </c>
      <c r="B201" s="10" t="s">
        <v>207</v>
      </c>
      <c r="C201" s="80">
        <v>1202328</v>
      </c>
    </row>
    <row r="202" spans="1:3" x14ac:dyDescent="0.25">
      <c r="A202" s="10" t="s">
        <v>208</v>
      </c>
      <c r="B202" s="10" t="s">
        <v>209</v>
      </c>
      <c r="C202" s="80">
        <v>20551909.890000001</v>
      </c>
    </row>
    <row r="203" spans="1:3" x14ac:dyDescent="0.25">
      <c r="C203" s="80">
        <f>SUM(C195:C202)</f>
        <v>77038319.780000001</v>
      </c>
    </row>
    <row r="205" spans="1:3" x14ac:dyDescent="0.25">
      <c r="C205" s="134">
        <v>45926</v>
      </c>
    </row>
    <row r="206" spans="1:3" ht="15.75" x14ac:dyDescent="0.25">
      <c r="A206" s="32" t="s">
        <v>190</v>
      </c>
      <c r="B206" s="32" t="s">
        <v>191</v>
      </c>
      <c r="C206" s="116" t="s">
        <v>14</v>
      </c>
    </row>
    <row r="207" spans="1:3" x14ac:dyDescent="0.25">
      <c r="A207" s="10" t="s">
        <v>239</v>
      </c>
      <c r="B207" s="10" t="s">
        <v>240</v>
      </c>
      <c r="C207" s="80">
        <v>21388494.609999999</v>
      </c>
    </row>
    <row r="208" spans="1:3" x14ac:dyDescent="0.25">
      <c r="A208" s="10" t="s">
        <v>194</v>
      </c>
      <c r="B208" s="10" t="s">
        <v>195</v>
      </c>
      <c r="C208" s="80">
        <v>771220.12</v>
      </c>
    </row>
    <row r="209" spans="1:3" x14ac:dyDescent="0.25">
      <c r="A209" s="10" t="s">
        <v>196</v>
      </c>
      <c r="B209" s="10" t="s">
        <v>197</v>
      </c>
      <c r="C209" s="80">
        <v>-575.58000000000004</v>
      </c>
    </row>
    <row r="210" spans="1:3" x14ac:dyDescent="0.25">
      <c r="A210" s="10" t="s">
        <v>198</v>
      </c>
      <c r="B210" s="10" t="s">
        <v>199</v>
      </c>
      <c r="C210" s="80">
        <v>0.01</v>
      </c>
    </row>
    <row r="211" spans="1:3" x14ac:dyDescent="0.25">
      <c r="A211" s="10" t="s">
        <v>200</v>
      </c>
      <c r="B211" s="10" t="s">
        <v>201</v>
      </c>
      <c r="C211" s="80">
        <v>15730000</v>
      </c>
    </row>
    <row r="212" spans="1:3" x14ac:dyDescent="0.25">
      <c r="A212" s="10" t="s">
        <v>202</v>
      </c>
      <c r="B212" s="10" t="s">
        <v>203</v>
      </c>
      <c r="C212" s="80">
        <v>480078.39</v>
      </c>
    </row>
    <row r="213" spans="1:3" x14ac:dyDescent="0.25">
      <c r="A213" s="10" t="s">
        <v>204</v>
      </c>
      <c r="B213" s="10" t="s">
        <v>205</v>
      </c>
      <c r="C213" s="80">
        <v>17686084.460000001</v>
      </c>
    </row>
    <row r="214" spans="1:3" x14ac:dyDescent="0.25">
      <c r="A214" s="10" t="s">
        <v>206</v>
      </c>
      <c r="B214" s="10" t="s">
        <v>207</v>
      </c>
      <c r="C214" s="80">
        <v>1202328</v>
      </c>
    </row>
    <row r="215" spans="1:3" x14ac:dyDescent="0.25">
      <c r="C215" s="117">
        <f>SUM(C207:C214)</f>
        <v>57257630.010000005</v>
      </c>
    </row>
    <row r="217" spans="1:3" x14ac:dyDescent="0.25">
      <c r="C217" s="134">
        <v>45933</v>
      </c>
    </row>
    <row r="219" spans="1:3" ht="15.75" x14ac:dyDescent="0.25">
      <c r="A219" s="32" t="s">
        <v>190</v>
      </c>
      <c r="B219" s="32" t="s">
        <v>191</v>
      </c>
      <c r="C219" s="32" t="s">
        <v>14</v>
      </c>
    </row>
    <row r="220" spans="1:3" x14ac:dyDescent="0.25">
      <c r="A220" s="10" t="s">
        <v>239</v>
      </c>
      <c r="B220" s="10" t="s">
        <v>240</v>
      </c>
      <c r="C220" s="80">
        <v>21388494.609999999</v>
      </c>
    </row>
    <row r="221" spans="1:3" x14ac:dyDescent="0.25">
      <c r="A221" s="10" t="s">
        <v>192</v>
      </c>
      <c r="B221" s="10" t="s">
        <v>193</v>
      </c>
      <c r="C221" s="80">
        <v>36025986.950000003</v>
      </c>
    </row>
    <row r="222" spans="1:3" x14ac:dyDescent="0.25">
      <c r="A222" s="10" t="s">
        <v>194</v>
      </c>
      <c r="B222" s="10" t="s">
        <v>195</v>
      </c>
      <c r="C222" s="80">
        <v>771220.12</v>
      </c>
    </row>
    <row r="223" spans="1:3" x14ac:dyDescent="0.25">
      <c r="A223" s="10" t="s">
        <v>196</v>
      </c>
      <c r="B223" s="10" t="s">
        <v>197</v>
      </c>
      <c r="C223" s="80">
        <v>-575.58000000000004</v>
      </c>
    </row>
    <row r="224" spans="1:3" x14ac:dyDescent="0.25">
      <c r="A224" s="10" t="s">
        <v>198</v>
      </c>
      <c r="B224" s="10" t="s">
        <v>199</v>
      </c>
      <c r="C224" s="80">
        <v>0.01</v>
      </c>
    </row>
    <row r="225" spans="1:3" x14ac:dyDescent="0.25">
      <c r="A225" s="10" t="s">
        <v>200</v>
      </c>
      <c r="B225" s="10" t="s">
        <v>201</v>
      </c>
      <c r="C225" s="80">
        <v>15730000</v>
      </c>
    </row>
    <row r="226" spans="1:3" x14ac:dyDescent="0.25">
      <c r="A226" s="10" t="s">
        <v>202</v>
      </c>
      <c r="B226" s="10" t="s">
        <v>203</v>
      </c>
      <c r="C226" s="80">
        <v>8065704.8399999999</v>
      </c>
    </row>
    <row r="227" spans="1:3" x14ac:dyDescent="0.25">
      <c r="A227" s="10" t="s">
        <v>204</v>
      </c>
      <c r="B227" s="10" t="s">
        <v>205</v>
      </c>
      <c r="C227" s="80">
        <v>17686084.460000001</v>
      </c>
    </row>
    <row r="228" spans="1:3" x14ac:dyDescent="0.25">
      <c r="A228" s="10" t="s">
        <v>206</v>
      </c>
      <c r="B228" s="10" t="s">
        <v>207</v>
      </c>
      <c r="C228" s="80">
        <v>1202328</v>
      </c>
    </row>
    <row r="229" spans="1:3" x14ac:dyDescent="0.25">
      <c r="C229" s="80">
        <f>SUM(C220:C228)</f>
        <v>100869243.41</v>
      </c>
    </row>
    <row r="231" spans="1:3" x14ac:dyDescent="0.25">
      <c r="C231" s="134">
        <v>45939</v>
      </c>
    </row>
    <row r="232" spans="1:3" ht="15.75" x14ac:dyDescent="0.25">
      <c r="A232" s="32" t="s">
        <v>190</v>
      </c>
      <c r="B232" s="32" t="s">
        <v>191</v>
      </c>
      <c r="C232" s="116" t="s">
        <v>14</v>
      </c>
    </row>
    <row r="233" spans="1:3" x14ac:dyDescent="0.25">
      <c r="A233" s="10" t="s">
        <v>239</v>
      </c>
      <c r="B233" s="10" t="s">
        <v>240</v>
      </c>
      <c r="C233" s="80">
        <v>21388494.609999999</v>
      </c>
    </row>
    <row r="234" spans="1:3" x14ac:dyDescent="0.25">
      <c r="A234" s="10" t="s">
        <v>192</v>
      </c>
      <c r="B234" s="10" t="s">
        <v>193</v>
      </c>
      <c r="C234" s="80">
        <v>36025986.950000003</v>
      </c>
    </row>
    <row r="235" spans="1:3" x14ac:dyDescent="0.25">
      <c r="A235" s="10" t="s">
        <v>194</v>
      </c>
      <c r="B235" s="10" t="s">
        <v>195</v>
      </c>
      <c r="C235" s="80">
        <v>771220.12</v>
      </c>
    </row>
    <row r="236" spans="1:3" x14ac:dyDescent="0.25">
      <c r="A236" s="10" t="s">
        <v>196</v>
      </c>
      <c r="B236" s="10" t="s">
        <v>197</v>
      </c>
      <c r="C236" s="80">
        <v>-575.58000000000004</v>
      </c>
    </row>
    <row r="237" spans="1:3" x14ac:dyDescent="0.25">
      <c r="A237" s="10" t="s">
        <v>198</v>
      </c>
      <c r="B237" s="10" t="s">
        <v>199</v>
      </c>
      <c r="C237" s="80">
        <v>0.01</v>
      </c>
    </row>
    <row r="238" spans="1:3" x14ac:dyDescent="0.25">
      <c r="A238" s="10" t="s">
        <v>200</v>
      </c>
      <c r="B238" s="10" t="s">
        <v>201</v>
      </c>
      <c r="C238" s="80">
        <v>15730000</v>
      </c>
    </row>
    <row r="239" spans="1:3" x14ac:dyDescent="0.25">
      <c r="A239" s="10" t="s">
        <v>202</v>
      </c>
      <c r="B239" s="10" t="s">
        <v>203</v>
      </c>
      <c r="C239" s="80">
        <v>8065704.8399999999</v>
      </c>
    </row>
    <row r="240" spans="1:3" x14ac:dyDescent="0.25">
      <c r="A240" s="10" t="s">
        <v>204</v>
      </c>
      <c r="B240" s="10" t="s">
        <v>205</v>
      </c>
      <c r="C240" s="80">
        <v>17686084.460000001</v>
      </c>
    </row>
    <row r="241" spans="1:3" x14ac:dyDescent="0.25">
      <c r="A241" s="10" t="s">
        <v>206</v>
      </c>
      <c r="B241" s="10" t="s">
        <v>207</v>
      </c>
      <c r="C241" s="80">
        <v>1202328</v>
      </c>
    </row>
    <row r="242" spans="1:3" x14ac:dyDescent="0.25">
      <c r="C242" s="80">
        <f>SUM(C233:C241)</f>
        <v>100869243.41</v>
      </c>
    </row>
    <row r="244" spans="1:3" x14ac:dyDescent="0.25">
      <c r="C244" s="134">
        <v>45950</v>
      </c>
    </row>
    <row r="245" spans="1:3" ht="15.75" x14ac:dyDescent="0.25">
      <c r="A245" s="32" t="s">
        <v>190</v>
      </c>
      <c r="B245" s="32" t="s">
        <v>191</v>
      </c>
      <c r="C245" s="32" t="s">
        <v>14</v>
      </c>
    </row>
    <row r="246" spans="1:3" x14ac:dyDescent="0.25">
      <c r="A246" s="10" t="s">
        <v>239</v>
      </c>
      <c r="B246" s="10" t="s">
        <v>240</v>
      </c>
      <c r="C246" s="80">
        <v>21388494.609999999</v>
      </c>
    </row>
    <row r="247" spans="1:3" x14ac:dyDescent="0.25">
      <c r="A247" s="10" t="s">
        <v>192</v>
      </c>
      <c r="B247" s="10" t="s">
        <v>193</v>
      </c>
      <c r="C247" s="80">
        <v>-194.45</v>
      </c>
    </row>
    <row r="248" spans="1:3" x14ac:dyDescent="0.25">
      <c r="A248" s="10" t="s">
        <v>194</v>
      </c>
      <c r="B248" s="10" t="s">
        <v>195</v>
      </c>
      <c r="C248" s="80">
        <v>807520.12</v>
      </c>
    </row>
    <row r="249" spans="1:3" x14ac:dyDescent="0.25">
      <c r="A249" s="10" t="s">
        <v>196</v>
      </c>
      <c r="B249" s="10" t="s">
        <v>197</v>
      </c>
      <c r="C249" s="80">
        <v>-575.58000000000004</v>
      </c>
    </row>
    <row r="250" spans="1:3" x14ac:dyDescent="0.25">
      <c r="A250" s="10" t="s">
        <v>198</v>
      </c>
      <c r="B250" s="10" t="s">
        <v>199</v>
      </c>
      <c r="C250" s="80">
        <v>0.01</v>
      </c>
    </row>
    <row r="251" spans="1:3" x14ac:dyDescent="0.25">
      <c r="A251" s="10" t="s">
        <v>200</v>
      </c>
      <c r="B251" s="10" t="s">
        <v>201</v>
      </c>
      <c r="C251" s="80">
        <v>15730000</v>
      </c>
    </row>
    <row r="252" spans="1:3" x14ac:dyDescent="0.25">
      <c r="A252" s="10" t="s">
        <v>202</v>
      </c>
      <c r="B252" s="10" t="s">
        <v>203</v>
      </c>
      <c r="C252" s="80">
        <v>480078.39</v>
      </c>
    </row>
    <row r="253" spans="1:3" x14ac:dyDescent="0.25">
      <c r="A253" s="10" t="s">
        <v>206</v>
      </c>
      <c r="B253" s="10" t="s">
        <v>207</v>
      </c>
      <c r="C253" s="80">
        <v>1202328</v>
      </c>
    </row>
    <row r="254" spans="1:3" x14ac:dyDescent="0.25">
      <c r="A254" s="10" t="s">
        <v>293</v>
      </c>
      <c r="B254" s="10" t="s">
        <v>294</v>
      </c>
      <c r="C254" s="80">
        <v>394763.71</v>
      </c>
    </row>
    <row r="255" spans="1:3" x14ac:dyDescent="0.25">
      <c r="C255" s="80">
        <f>SUM(C246:C254)</f>
        <v>40002414.81000001</v>
      </c>
    </row>
    <row r="257" spans="1:3" x14ac:dyDescent="0.25">
      <c r="C257" s="134">
        <v>45954</v>
      </c>
    </row>
    <row r="259" spans="1:3" ht="15.75" x14ac:dyDescent="0.25">
      <c r="A259" s="32" t="s">
        <v>190</v>
      </c>
      <c r="B259" s="32" t="s">
        <v>191</v>
      </c>
      <c r="C259" s="116" t="s">
        <v>14</v>
      </c>
    </row>
    <row r="260" spans="1:3" x14ac:dyDescent="0.25">
      <c r="A260" s="10" t="s">
        <v>192</v>
      </c>
      <c r="B260" s="10" t="s">
        <v>193</v>
      </c>
      <c r="C260" s="80">
        <v>-194.45</v>
      </c>
    </row>
    <row r="261" spans="1:3" x14ac:dyDescent="0.25">
      <c r="A261" s="10" t="s">
        <v>194</v>
      </c>
      <c r="B261" s="10" t="s">
        <v>195</v>
      </c>
      <c r="C261" s="80">
        <v>807520.12</v>
      </c>
    </row>
    <row r="262" spans="1:3" x14ac:dyDescent="0.25">
      <c r="A262" s="10" t="s">
        <v>196</v>
      </c>
      <c r="B262" s="10" t="s">
        <v>197</v>
      </c>
      <c r="C262" s="80">
        <v>-575.58000000000004</v>
      </c>
    </row>
    <row r="263" spans="1:3" x14ac:dyDescent="0.25">
      <c r="A263" s="10" t="s">
        <v>198</v>
      </c>
      <c r="B263" s="10" t="s">
        <v>199</v>
      </c>
      <c r="C263" s="80">
        <v>0.01</v>
      </c>
    </row>
    <row r="264" spans="1:3" x14ac:dyDescent="0.25">
      <c r="A264" s="10" t="s">
        <v>202</v>
      </c>
      <c r="B264" s="10" t="s">
        <v>203</v>
      </c>
      <c r="C264" s="80">
        <v>480078.39</v>
      </c>
    </row>
    <row r="265" spans="1:3" x14ac:dyDescent="0.25">
      <c r="A265" s="10" t="s">
        <v>206</v>
      </c>
      <c r="B265" s="10" t="s">
        <v>207</v>
      </c>
      <c r="C265" s="80">
        <v>1202328</v>
      </c>
    </row>
    <row r="266" spans="1:3" x14ac:dyDescent="0.25">
      <c r="A266" s="10" t="s">
        <v>293</v>
      </c>
      <c r="B266" s="10" t="s">
        <v>294</v>
      </c>
      <c r="C266" s="80">
        <v>394763.71</v>
      </c>
    </row>
    <row r="267" spans="1:3" x14ac:dyDescent="0.25">
      <c r="C267" s="80">
        <f>SUM(C260:C266)</f>
        <v>2883920.2</v>
      </c>
    </row>
    <row r="269" spans="1:3" x14ac:dyDescent="0.25">
      <c r="C269" s="134">
        <v>45961</v>
      </c>
    </row>
    <row r="271" spans="1:3" ht="15.75" x14ac:dyDescent="0.25">
      <c r="A271" s="32" t="s">
        <v>190</v>
      </c>
      <c r="B271" s="32" t="s">
        <v>191</v>
      </c>
      <c r="C271" s="116" t="s">
        <v>14</v>
      </c>
    </row>
    <row r="272" spans="1:3" x14ac:dyDescent="0.25">
      <c r="A272" s="10" t="s">
        <v>192</v>
      </c>
      <c r="B272" s="10" t="s">
        <v>193</v>
      </c>
      <c r="C272" s="80">
        <v>-194.45</v>
      </c>
    </row>
    <row r="273" spans="1:3" x14ac:dyDescent="0.25">
      <c r="A273" s="10" t="s">
        <v>194</v>
      </c>
      <c r="B273" s="10" t="s">
        <v>195</v>
      </c>
      <c r="C273" s="80">
        <v>807520.12</v>
      </c>
    </row>
    <row r="274" spans="1:3" x14ac:dyDescent="0.25">
      <c r="A274" s="10" t="s">
        <v>196</v>
      </c>
      <c r="B274" s="10" t="s">
        <v>197</v>
      </c>
      <c r="C274" s="80">
        <v>-575.58000000000004</v>
      </c>
    </row>
    <row r="275" spans="1:3" x14ac:dyDescent="0.25">
      <c r="A275" s="10" t="s">
        <v>198</v>
      </c>
      <c r="B275" s="10" t="s">
        <v>199</v>
      </c>
      <c r="C275" s="80">
        <v>0.01</v>
      </c>
    </row>
    <row r="276" spans="1:3" x14ac:dyDescent="0.25">
      <c r="A276" s="10" t="s">
        <v>202</v>
      </c>
      <c r="B276" s="10" t="s">
        <v>203</v>
      </c>
      <c r="C276" s="80">
        <v>480078.39</v>
      </c>
    </row>
    <row r="277" spans="1:3" x14ac:dyDescent="0.25">
      <c r="A277" s="10" t="s">
        <v>204</v>
      </c>
      <c r="B277" s="10" t="s">
        <v>205</v>
      </c>
      <c r="C277" s="80">
        <v>394763.71</v>
      </c>
    </row>
    <row r="278" spans="1:3" x14ac:dyDescent="0.25">
      <c r="A278" s="10" t="s">
        <v>206</v>
      </c>
      <c r="B278" s="10" t="s">
        <v>207</v>
      </c>
      <c r="C278" s="80">
        <v>1202328</v>
      </c>
    </row>
    <row r="279" spans="1:3" x14ac:dyDescent="0.25">
      <c r="C279" s="80">
        <f>SUM(C272:C278)</f>
        <v>2883920.2</v>
      </c>
    </row>
    <row r="280" spans="1:3" x14ac:dyDescent="0.25">
      <c r="C280" s="134">
        <v>45968</v>
      </c>
    </row>
    <row r="282" spans="1:3" ht="15.75" x14ac:dyDescent="0.25">
      <c r="A282" s="32" t="s">
        <v>190</v>
      </c>
      <c r="B282" s="32" t="s">
        <v>191</v>
      </c>
      <c r="C282" s="116" t="s">
        <v>14</v>
      </c>
    </row>
    <row r="283" spans="1:3" x14ac:dyDescent="0.25">
      <c r="A283" s="10" t="s">
        <v>192</v>
      </c>
      <c r="B283" s="10" t="s">
        <v>193</v>
      </c>
      <c r="C283" s="80">
        <v>42821549.740000002</v>
      </c>
    </row>
    <row r="284" spans="1:3" x14ac:dyDescent="0.25">
      <c r="A284" s="10" t="s">
        <v>194</v>
      </c>
      <c r="B284" s="10" t="s">
        <v>195</v>
      </c>
      <c r="C284" s="80">
        <v>807520.12</v>
      </c>
    </row>
    <row r="285" spans="1:3" x14ac:dyDescent="0.25">
      <c r="A285" s="10" t="s">
        <v>196</v>
      </c>
      <c r="B285" s="10" t="s">
        <v>197</v>
      </c>
      <c r="C285" s="80">
        <v>-575.58000000000004</v>
      </c>
    </row>
    <row r="286" spans="1:3" x14ac:dyDescent="0.25">
      <c r="A286" s="10" t="s">
        <v>198</v>
      </c>
      <c r="B286" s="10" t="s">
        <v>199</v>
      </c>
      <c r="C286" s="80">
        <v>0.01</v>
      </c>
    </row>
    <row r="287" spans="1:3" x14ac:dyDescent="0.25">
      <c r="A287" s="10" t="s">
        <v>202</v>
      </c>
      <c r="B287" s="10" t="s">
        <v>203</v>
      </c>
      <c r="C287" s="80">
        <v>2612735.9900000002</v>
      </c>
    </row>
    <row r="288" spans="1:3" x14ac:dyDescent="0.25">
      <c r="A288" s="10" t="s">
        <v>204</v>
      </c>
      <c r="B288" s="10" t="s">
        <v>205</v>
      </c>
      <c r="C288" s="80">
        <v>394763.71</v>
      </c>
    </row>
    <row r="289" spans="1:3" x14ac:dyDescent="0.25">
      <c r="A289" s="10" t="s">
        <v>206</v>
      </c>
      <c r="B289" s="10" t="s">
        <v>207</v>
      </c>
      <c r="C289" s="80">
        <v>1202328</v>
      </c>
    </row>
    <row r="290" spans="1:3" x14ac:dyDescent="0.25">
      <c r="C290" s="80">
        <f>SUM(C283:C289)</f>
        <v>47838321.990000002</v>
      </c>
    </row>
    <row r="292" spans="1:3" x14ac:dyDescent="0.25">
      <c r="C292" s="134">
        <v>45978</v>
      </c>
    </row>
    <row r="293" spans="1:3" ht="15.75" x14ac:dyDescent="0.25">
      <c r="A293" s="32" t="s">
        <v>190</v>
      </c>
      <c r="B293" s="32" t="s">
        <v>191</v>
      </c>
      <c r="C293" s="116" t="s">
        <v>14</v>
      </c>
    </row>
    <row r="294" spans="1:3" x14ac:dyDescent="0.25">
      <c r="A294" s="10" t="s">
        <v>192</v>
      </c>
      <c r="B294" s="10" t="s">
        <v>193</v>
      </c>
      <c r="C294" s="80">
        <v>-194.45</v>
      </c>
    </row>
    <row r="295" spans="1:3" x14ac:dyDescent="0.25">
      <c r="A295" s="10" t="s">
        <v>194</v>
      </c>
      <c r="B295" s="10" t="s">
        <v>195</v>
      </c>
      <c r="C295" s="80">
        <v>20912380.390000001</v>
      </c>
    </row>
    <row r="296" spans="1:3" x14ac:dyDescent="0.25">
      <c r="A296" s="10" t="s">
        <v>196</v>
      </c>
      <c r="B296" s="10" t="s">
        <v>197</v>
      </c>
      <c r="C296" s="80">
        <v>-575.58000000000004</v>
      </c>
    </row>
    <row r="297" spans="1:3" x14ac:dyDescent="0.25">
      <c r="A297" s="10" t="s">
        <v>198</v>
      </c>
      <c r="B297" s="10" t="s">
        <v>199</v>
      </c>
      <c r="C297" s="80">
        <v>0.01</v>
      </c>
    </row>
    <row r="298" spans="1:3" x14ac:dyDescent="0.25">
      <c r="A298" s="10" t="s">
        <v>202</v>
      </c>
      <c r="B298" s="10" t="s">
        <v>203</v>
      </c>
      <c r="C298" s="80">
        <v>480078.39</v>
      </c>
    </row>
    <row r="299" spans="1:3" x14ac:dyDescent="0.25">
      <c r="A299" s="10" t="s">
        <v>204</v>
      </c>
      <c r="B299" s="10" t="s">
        <v>205</v>
      </c>
      <c r="C299" s="80">
        <v>394763.71</v>
      </c>
    </row>
    <row r="300" spans="1:3" x14ac:dyDescent="0.25">
      <c r="A300" s="10" t="s">
        <v>206</v>
      </c>
      <c r="B300" s="10" t="s">
        <v>207</v>
      </c>
      <c r="C300" s="80">
        <v>1202328</v>
      </c>
    </row>
    <row r="301" spans="1:3" x14ac:dyDescent="0.25">
      <c r="C301" s="80">
        <f>SUM(C294:C300)</f>
        <v>22988780.470000006</v>
      </c>
    </row>
    <row r="302" spans="1:3" x14ac:dyDescent="0.25">
      <c r="C302" s="134">
        <v>45982</v>
      </c>
    </row>
    <row r="303" spans="1:3" ht="15.75" x14ac:dyDescent="0.25">
      <c r="A303" s="32" t="s">
        <v>190</v>
      </c>
      <c r="B303" s="32" t="s">
        <v>191</v>
      </c>
      <c r="C303" s="32" t="s">
        <v>14</v>
      </c>
    </row>
    <row r="304" spans="1:3" x14ac:dyDescent="0.25">
      <c r="A304" s="10" t="s">
        <v>192</v>
      </c>
      <c r="B304" s="10" t="s">
        <v>193</v>
      </c>
      <c r="C304" s="16">
        <v>-194.45</v>
      </c>
    </row>
    <row r="305" spans="1:3" x14ac:dyDescent="0.25">
      <c r="A305" s="10" t="s">
        <v>194</v>
      </c>
      <c r="B305" s="10" t="s">
        <v>195</v>
      </c>
      <c r="C305" s="16">
        <v>20912380.390000001</v>
      </c>
    </row>
    <row r="306" spans="1:3" x14ac:dyDescent="0.25">
      <c r="A306" s="10" t="s">
        <v>196</v>
      </c>
      <c r="B306" s="10" t="s">
        <v>197</v>
      </c>
      <c r="C306" s="16">
        <v>-575.58000000000004</v>
      </c>
    </row>
    <row r="307" spans="1:3" x14ac:dyDescent="0.25">
      <c r="A307" s="10" t="s">
        <v>198</v>
      </c>
      <c r="B307" s="10" t="s">
        <v>199</v>
      </c>
      <c r="C307" s="16">
        <v>0.01</v>
      </c>
    </row>
    <row r="308" spans="1:3" x14ac:dyDescent="0.25">
      <c r="A308" s="10" t="s">
        <v>202</v>
      </c>
      <c r="B308" s="10" t="s">
        <v>203</v>
      </c>
      <c r="C308" s="16">
        <v>480078.39</v>
      </c>
    </row>
    <row r="309" spans="1:3" x14ac:dyDescent="0.25">
      <c r="A309" s="10" t="s">
        <v>204</v>
      </c>
      <c r="B309" s="10" t="s">
        <v>205</v>
      </c>
      <c r="C309" s="16">
        <v>394763.71</v>
      </c>
    </row>
    <row r="310" spans="1:3" x14ac:dyDescent="0.25">
      <c r="A310" s="10" t="s">
        <v>206</v>
      </c>
      <c r="B310" s="10" t="s">
        <v>207</v>
      </c>
      <c r="C310" s="16">
        <v>1202328</v>
      </c>
    </row>
    <row r="311" spans="1:3" x14ac:dyDescent="0.25">
      <c r="C311" s="80">
        <f>SUM(C304:C310)</f>
        <v>22988780.470000006</v>
      </c>
    </row>
    <row r="313" spans="1:3" x14ac:dyDescent="0.25">
      <c r="C313" s="134">
        <v>45989</v>
      </c>
    </row>
    <row r="314" spans="1:3" ht="15.75" x14ac:dyDescent="0.25">
      <c r="A314" s="32" t="s">
        <v>190</v>
      </c>
      <c r="B314" s="32" t="s">
        <v>191</v>
      </c>
      <c r="C314" s="116" t="s">
        <v>14</v>
      </c>
    </row>
    <row r="315" spans="1:3" x14ac:dyDescent="0.25">
      <c r="A315" s="10" t="s">
        <v>192</v>
      </c>
      <c r="B315" s="10" t="s">
        <v>193</v>
      </c>
      <c r="C315" s="80">
        <v>-194.45</v>
      </c>
    </row>
    <row r="316" spans="1:3" x14ac:dyDescent="0.25">
      <c r="A316" s="10" t="s">
        <v>194</v>
      </c>
      <c r="B316" s="10" t="s">
        <v>195</v>
      </c>
      <c r="C316" s="80">
        <v>20104860.27</v>
      </c>
    </row>
    <row r="317" spans="1:3" x14ac:dyDescent="0.25">
      <c r="A317" s="10" t="s">
        <v>196</v>
      </c>
      <c r="B317" s="10" t="s">
        <v>197</v>
      </c>
      <c r="C317" s="80">
        <v>-575.58000000000004</v>
      </c>
    </row>
    <row r="318" spans="1:3" x14ac:dyDescent="0.25">
      <c r="A318" s="10" t="s">
        <v>198</v>
      </c>
      <c r="B318" s="10" t="s">
        <v>199</v>
      </c>
      <c r="C318" s="80">
        <v>0.01</v>
      </c>
    </row>
    <row r="319" spans="1:3" x14ac:dyDescent="0.25">
      <c r="A319" s="10" t="s">
        <v>202</v>
      </c>
      <c r="B319" s="10" t="s">
        <v>203</v>
      </c>
      <c r="C319" s="80">
        <v>480078.39</v>
      </c>
    </row>
    <row r="320" spans="1:3" x14ac:dyDescent="0.25">
      <c r="A320" s="10" t="s">
        <v>204</v>
      </c>
      <c r="B320" s="10" t="s">
        <v>205</v>
      </c>
      <c r="C320" s="80">
        <v>394763.71</v>
      </c>
    </row>
    <row r="321" spans="1:3" x14ac:dyDescent="0.25">
      <c r="A321" s="10" t="s">
        <v>206</v>
      </c>
      <c r="B321" s="10" t="s">
        <v>207</v>
      </c>
      <c r="C321" s="80">
        <v>1202328</v>
      </c>
    </row>
    <row r="322" spans="1:3" x14ac:dyDescent="0.25">
      <c r="C322" s="80">
        <f>SUM(C315:C321)</f>
        <v>22181260.350000005</v>
      </c>
    </row>
    <row r="323" spans="1:3" x14ac:dyDescent="0.25">
      <c r="C323" s="134">
        <v>45996</v>
      </c>
    </row>
    <row r="324" spans="1:3" ht="15.75" x14ac:dyDescent="0.25">
      <c r="A324" s="32" t="s">
        <v>190</v>
      </c>
      <c r="B324" s="32" t="s">
        <v>191</v>
      </c>
      <c r="C324" s="116" t="s">
        <v>14</v>
      </c>
    </row>
    <row r="325" spans="1:3" x14ac:dyDescent="0.25">
      <c r="A325" s="10" t="s">
        <v>192</v>
      </c>
      <c r="B325" s="10" t="s">
        <v>193</v>
      </c>
      <c r="C325" s="80">
        <v>35749284.700000003</v>
      </c>
    </row>
    <row r="326" spans="1:3" x14ac:dyDescent="0.25">
      <c r="A326" s="10" t="s">
        <v>194</v>
      </c>
      <c r="B326" s="10" t="s">
        <v>195</v>
      </c>
      <c r="C326" s="80">
        <v>20104860.27</v>
      </c>
    </row>
    <row r="327" spans="1:3" x14ac:dyDescent="0.25">
      <c r="A327" s="10" t="s">
        <v>319</v>
      </c>
      <c r="B327" s="10" t="s">
        <v>320</v>
      </c>
      <c r="C327" s="80">
        <v>4283400</v>
      </c>
    </row>
    <row r="328" spans="1:3" x14ac:dyDescent="0.25">
      <c r="A328" s="10" t="s">
        <v>196</v>
      </c>
      <c r="B328" s="10" t="s">
        <v>197</v>
      </c>
      <c r="C328" s="80">
        <v>-575.58000000000004</v>
      </c>
    </row>
    <row r="329" spans="1:3" x14ac:dyDescent="0.25">
      <c r="A329" s="10" t="s">
        <v>198</v>
      </c>
      <c r="B329" s="10" t="s">
        <v>199</v>
      </c>
      <c r="C329" s="80">
        <v>0.01</v>
      </c>
    </row>
    <row r="330" spans="1:3" x14ac:dyDescent="0.25">
      <c r="A330" s="10" t="s">
        <v>202</v>
      </c>
      <c r="B330" s="10" t="s">
        <v>203</v>
      </c>
      <c r="C330" s="80">
        <v>6474036.04</v>
      </c>
    </row>
    <row r="331" spans="1:3" x14ac:dyDescent="0.25">
      <c r="A331" s="10" t="s">
        <v>204</v>
      </c>
      <c r="B331" s="10" t="s">
        <v>205</v>
      </c>
      <c r="C331" s="80">
        <v>394763.71</v>
      </c>
    </row>
    <row r="332" spans="1:3" x14ac:dyDescent="0.25">
      <c r="A332" s="10" t="s">
        <v>206</v>
      </c>
      <c r="B332" s="10" t="s">
        <v>207</v>
      </c>
      <c r="C332" s="80">
        <v>1202328</v>
      </c>
    </row>
    <row r="333" spans="1:3" x14ac:dyDescent="0.25">
      <c r="C333" s="80">
        <f>SUM(C325:C332)</f>
        <v>68208097.150000006</v>
      </c>
    </row>
    <row r="334" spans="1:3" x14ac:dyDescent="0.25">
      <c r="B334" s="164">
        <v>46010</v>
      </c>
    </row>
    <row r="335" spans="1:3" ht="15.75" x14ac:dyDescent="0.25">
      <c r="A335" s="32" t="s">
        <v>190</v>
      </c>
      <c r="B335" s="32" t="s">
        <v>191</v>
      </c>
      <c r="C335" s="116" t="s">
        <v>14</v>
      </c>
    </row>
    <row r="336" spans="1:3" x14ac:dyDescent="0.25">
      <c r="A336" s="10" t="s">
        <v>192</v>
      </c>
      <c r="B336" s="10" t="s">
        <v>193</v>
      </c>
      <c r="C336" s="80">
        <v>-194.45</v>
      </c>
    </row>
    <row r="337" spans="1:3" x14ac:dyDescent="0.25">
      <c r="A337" s="10" t="s">
        <v>194</v>
      </c>
      <c r="B337" s="10" t="s">
        <v>195</v>
      </c>
      <c r="C337" s="80">
        <v>20104860.27</v>
      </c>
    </row>
    <row r="338" spans="1:3" x14ac:dyDescent="0.25">
      <c r="A338" s="10" t="s">
        <v>196</v>
      </c>
      <c r="B338" s="10" t="s">
        <v>197</v>
      </c>
      <c r="C338" s="80">
        <v>-575.58000000000004</v>
      </c>
    </row>
    <row r="339" spans="1:3" x14ac:dyDescent="0.25">
      <c r="A339" s="10" t="s">
        <v>198</v>
      </c>
      <c r="B339" s="10" t="s">
        <v>199</v>
      </c>
      <c r="C339" s="80">
        <v>0.01</v>
      </c>
    </row>
    <row r="340" spans="1:3" x14ac:dyDescent="0.25">
      <c r="A340" s="10" t="s">
        <v>202</v>
      </c>
      <c r="B340" s="10" t="s">
        <v>203</v>
      </c>
      <c r="C340" s="80">
        <v>480078.39</v>
      </c>
    </row>
    <row r="341" spans="1:3" x14ac:dyDescent="0.25">
      <c r="A341" s="10" t="s">
        <v>204</v>
      </c>
      <c r="B341" s="10" t="s">
        <v>205</v>
      </c>
      <c r="C341" s="80">
        <v>394763.71</v>
      </c>
    </row>
    <row r="342" spans="1:3" x14ac:dyDescent="0.25">
      <c r="A342" s="10" t="s">
        <v>206</v>
      </c>
      <c r="B342" s="10" t="s">
        <v>207</v>
      </c>
      <c r="C342" s="119">
        <v>1202328</v>
      </c>
    </row>
    <row r="343" spans="1:3" x14ac:dyDescent="0.25">
      <c r="C343" s="80">
        <f>SUM(C336:C342)</f>
        <v>22181260.350000005</v>
      </c>
    </row>
    <row r="344" spans="1:3" x14ac:dyDescent="0.25">
      <c r="B344" s="164">
        <v>46017</v>
      </c>
    </row>
    <row r="345" spans="1:3" ht="15.75" x14ac:dyDescent="0.25">
      <c r="A345" s="32" t="s">
        <v>190</v>
      </c>
      <c r="B345" s="32" t="s">
        <v>191</v>
      </c>
      <c r="C345" s="116" t="s">
        <v>14</v>
      </c>
    </row>
    <row r="346" spans="1:3" x14ac:dyDescent="0.25">
      <c r="A346" s="10" t="s">
        <v>192</v>
      </c>
      <c r="B346" s="10" t="s">
        <v>193</v>
      </c>
      <c r="C346" s="80">
        <v>21436236.879999999</v>
      </c>
    </row>
    <row r="347" spans="1:3" x14ac:dyDescent="0.25">
      <c r="A347" s="10" t="s">
        <v>196</v>
      </c>
      <c r="B347" s="10" t="s">
        <v>197</v>
      </c>
      <c r="C347" s="80">
        <v>-575.58000000000004</v>
      </c>
    </row>
    <row r="348" spans="1:3" x14ac:dyDescent="0.25">
      <c r="A348" s="10" t="s">
        <v>198</v>
      </c>
      <c r="B348" s="10" t="s">
        <v>199</v>
      </c>
      <c r="C348" s="80">
        <v>0.01</v>
      </c>
    </row>
    <row r="349" spans="1:3" x14ac:dyDescent="0.25">
      <c r="A349" s="10" t="s">
        <v>202</v>
      </c>
      <c r="B349" s="10" t="s">
        <v>203</v>
      </c>
      <c r="C349" s="80">
        <v>7343436.9500000002</v>
      </c>
    </row>
    <row r="350" spans="1:3" x14ac:dyDescent="0.25">
      <c r="A350" s="10" t="s">
        <v>204</v>
      </c>
      <c r="B350" s="10" t="s">
        <v>205</v>
      </c>
      <c r="C350" s="80">
        <v>394763.71</v>
      </c>
    </row>
    <row r="351" spans="1:3" x14ac:dyDescent="0.25">
      <c r="A351" s="10" t="s">
        <v>206</v>
      </c>
      <c r="B351" s="10" t="s">
        <v>207</v>
      </c>
      <c r="C351" s="165">
        <v>1202328</v>
      </c>
    </row>
    <row r="352" spans="1:3" x14ac:dyDescent="0.25">
      <c r="C352" s="117">
        <f>SUM(C346:C351)</f>
        <v>30376189.970000003</v>
      </c>
    </row>
    <row r="353" spans="1:4" x14ac:dyDescent="0.25">
      <c r="B353" s="164">
        <v>46024</v>
      </c>
    </row>
    <row r="354" spans="1:4" ht="15.75" x14ac:dyDescent="0.25">
      <c r="A354" s="32" t="s">
        <v>190</v>
      </c>
      <c r="B354" s="32" t="s">
        <v>191</v>
      </c>
      <c r="C354" s="116" t="s">
        <v>14</v>
      </c>
    </row>
    <row r="355" spans="1:4" x14ac:dyDescent="0.25">
      <c r="A355" s="10" t="s">
        <v>192</v>
      </c>
      <c r="B355" s="10" t="s">
        <v>193</v>
      </c>
      <c r="C355" s="80">
        <v>84028208.540000007</v>
      </c>
    </row>
    <row r="356" spans="1:4" x14ac:dyDescent="0.25">
      <c r="A356" s="10" t="s">
        <v>196</v>
      </c>
      <c r="B356" s="10" t="s">
        <v>197</v>
      </c>
      <c r="C356" s="80">
        <v>-575.58000000000004</v>
      </c>
    </row>
    <row r="357" spans="1:4" x14ac:dyDescent="0.25">
      <c r="A357" s="10" t="s">
        <v>198</v>
      </c>
      <c r="B357" s="10" t="s">
        <v>199</v>
      </c>
      <c r="C357" s="80">
        <v>0.01</v>
      </c>
    </row>
    <row r="358" spans="1:4" x14ac:dyDescent="0.25">
      <c r="A358" s="10" t="s">
        <v>200</v>
      </c>
      <c r="B358" s="10" t="s">
        <v>201</v>
      </c>
      <c r="C358" s="80">
        <v>0</v>
      </c>
      <c r="D358" s="80">
        <v>15730000</v>
      </c>
    </row>
    <row r="359" spans="1:4" x14ac:dyDescent="0.25">
      <c r="A359" s="10" t="s">
        <v>202</v>
      </c>
      <c r="B359" s="10" t="s">
        <v>203</v>
      </c>
      <c r="C359" s="80">
        <v>21702525.149999999</v>
      </c>
    </row>
    <row r="360" spans="1:4" x14ac:dyDescent="0.25">
      <c r="A360" s="10" t="s">
        <v>204</v>
      </c>
      <c r="B360" s="10" t="s">
        <v>205</v>
      </c>
      <c r="C360" s="80">
        <v>394763.71</v>
      </c>
    </row>
    <row r="361" spans="1:4" x14ac:dyDescent="0.25">
      <c r="A361" s="10" t="s">
        <v>206</v>
      </c>
      <c r="B361" s="10" t="s">
        <v>207</v>
      </c>
      <c r="C361" s="80">
        <v>1202328</v>
      </c>
    </row>
    <row r="362" spans="1:4" x14ac:dyDescent="0.25">
      <c r="C362" s="117">
        <f>SUM(C355:C361)</f>
        <v>107327249.83</v>
      </c>
    </row>
    <row r="363" spans="1:4" x14ac:dyDescent="0.25">
      <c r="B363" s="164">
        <v>46031</v>
      </c>
    </row>
    <row r="364" spans="1:4" ht="15.75" x14ac:dyDescent="0.25">
      <c r="A364" s="32" t="s">
        <v>190</v>
      </c>
      <c r="B364" s="32" t="s">
        <v>191</v>
      </c>
      <c r="C364" s="116" t="s">
        <v>14</v>
      </c>
    </row>
    <row r="365" spans="1:4" x14ac:dyDescent="0.25">
      <c r="A365" s="10" t="s">
        <v>192</v>
      </c>
      <c r="B365" s="10" t="s">
        <v>193</v>
      </c>
      <c r="C365" s="80">
        <v>52732222.719999999</v>
      </c>
    </row>
    <row r="366" spans="1:4" x14ac:dyDescent="0.25">
      <c r="A366" s="10" t="s">
        <v>196</v>
      </c>
      <c r="B366" s="10" t="s">
        <v>197</v>
      </c>
      <c r="C366" s="80">
        <v>-575.58000000000004</v>
      </c>
    </row>
    <row r="367" spans="1:4" x14ac:dyDescent="0.25">
      <c r="A367" s="10" t="s">
        <v>198</v>
      </c>
      <c r="B367" s="10" t="s">
        <v>199</v>
      </c>
      <c r="C367" s="80">
        <v>0.01</v>
      </c>
    </row>
    <row r="368" spans="1:4" x14ac:dyDescent="0.25">
      <c r="A368" s="10" t="s">
        <v>200</v>
      </c>
      <c r="B368" s="10" t="s">
        <v>201</v>
      </c>
      <c r="C368" s="80">
        <v>0</v>
      </c>
      <c r="D368" s="80">
        <v>15730000</v>
      </c>
    </row>
    <row r="369" spans="1:4" x14ac:dyDescent="0.25">
      <c r="A369" s="10" t="s">
        <v>202</v>
      </c>
      <c r="B369" s="10" t="s">
        <v>203</v>
      </c>
      <c r="C369" s="80">
        <v>14528981.050000001</v>
      </c>
    </row>
    <row r="370" spans="1:4" x14ac:dyDescent="0.25">
      <c r="A370" s="10" t="s">
        <v>333</v>
      </c>
      <c r="B370" s="10" t="s">
        <v>334</v>
      </c>
      <c r="C370" s="80">
        <v>2292780.6</v>
      </c>
    </row>
    <row r="371" spans="1:4" x14ac:dyDescent="0.25">
      <c r="A371" s="10" t="s">
        <v>206</v>
      </c>
      <c r="B371" s="10" t="s">
        <v>207</v>
      </c>
      <c r="C371" s="80">
        <v>1202328</v>
      </c>
    </row>
    <row r="372" spans="1:4" x14ac:dyDescent="0.25">
      <c r="C372" s="117">
        <f>SUM(C365:C371)</f>
        <v>70755736.799999997</v>
      </c>
    </row>
    <row r="373" spans="1:4" x14ac:dyDescent="0.25">
      <c r="B373" s="164">
        <v>46038</v>
      </c>
    </row>
    <row r="374" spans="1:4" ht="15.75" x14ac:dyDescent="0.25">
      <c r="A374" s="32" t="s">
        <v>190</v>
      </c>
      <c r="B374" s="32" t="s">
        <v>191</v>
      </c>
      <c r="C374" s="116" t="s">
        <v>14</v>
      </c>
    </row>
    <row r="375" spans="1:4" x14ac:dyDescent="0.25">
      <c r="A375" s="10" t="s">
        <v>338</v>
      </c>
      <c r="B375" s="10" t="s">
        <v>339</v>
      </c>
      <c r="C375" s="80">
        <v>8307200</v>
      </c>
    </row>
    <row r="376" spans="1:4" x14ac:dyDescent="0.25">
      <c r="A376" s="10" t="s">
        <v>192</v>
      </c>
      <c r="B376" s="10" t="s">
        <v>193</v>
      </c>
      <c r="C376" s="80">
        <v>21436236.879999999</v>
      </c>
    </row>
    <row r="377" spans="1:4" x14ac:dyDescent="0.25">
      <c r="A377" s="10" t="s">
        <v>196</v>
      </c>
      <c r="B377" s="10" t="s">
        <v>197</v>
      </c>
      <c r="C377" s="80">
        <v>-575.58000000000004</v>
      </c>
    </row>
    <row r="378" spans="1:4" x14ac:dyDescent="0.25">
      <c r="A378" s="10" t="s">
        <v>198</v>
      </c>
      <c r="B378" s="10" t="s">
        <v>199</v>
      </c>
      <c r="C378" s="80">
        <v>0.01</v>
      </c>
    </row>
    <row r="379" spans="1:4" x14ac:dyDescent="0.25">
      <c r="A379" s="10" t="s">
        <v>200</v>
      </c>
      <c r="B379" s="10" t="s">
        <v>201</v>
      </c>
      <c r="C379" s="80">
        <v>0</v>
      </c>
      <c r="D379" s="80">
        <v>15730000</v>
      </c>
    </row>
    <row r="380" spans="1:4" x14ac:dyDescent="0.25">
      <c r="A380" s="10" t="s">
        <v>202</v>
      </c>
      <c r="B380" s="10" t="s">
        <v>203</v>
      </c>
      <c r="C380" s="80">
        <v>7343436.9500000002</v>
      </c>
    </row>
    <row r="381" spans="1:4" x14ac:dyDescent="0.25">
      <c r="A381" s="10" t="s">
        <v>206</v>
      </c>
      <c r="B381" s="10" t="s">
        <v>207</v>
      </c>
      <c r="C381" s="80">
        <v>1202328</v>
      </c>
    </row>
    <row r="382" spans="1:4" x14ac:dyDescent="0.25">
      <c r="C382" s="117">
        <f>SUM(C375:C381)</f>
        <v>38288626.260000005</v>
      </c>
    </row>
    <row r="383" spans="1:4" ht="15.75" x14ac:dyDescent="0.25">
      <c r="B383" s="191">
        <v>46038</v>
      </c>
    </row>
    <row r="384" spans="1:4" ht="15.75" x14ac:dyDescent="0.25">
      <c r="A384" s="32" t="s">
        <v>190</v>
      </c>
      <c r="B384" s="32" t="s">
        <v>191</v>
      </c>
      <c r="C384" s="116" t="s">
        <v>14</v>
      </c>
    </row>
    <row r="385" spans="1:4" x14ac:dyDescent="0.25">
      <c r="A385" s="10" t="s">
        <v>338</v>
      </c>
      <c r="B385" s="10" t="s">
        <v>339</v>
      </c>
      <c r="C385" s="80">
        <v>8307200</v>
      </c>
    </row>
    <row r="386" spans="1:4" x14ac:dyDescent="0.25">
      <c r="A386" s="10" t="s">
        <v>192</v>
      </c>
      <c r="B386" s="10" t="s">
        <v>193</v>
      </c>
      <c r="C386" s="80">
        <v>21436236.879999999</v>
      </c>
    </row>
    <row r="387" spans="1:4" x14ac:dyDescent="0.25">
      <c r="A387" s="10" t="s">
        <v>196</v>
      </c>
      <c r="B387" s="10" t="s">
        <v>197</v>
      </c>
      <c r="C387" s="80">
        <v>-575.58000000000004</v>
      </c>
    </row>
    <row r="388" spans="1:4" x14ac:dyDescent="0.25">
      <c r="A388" s="10" t="s">
        <v>198</v>
      </c>
      <c r="B388" s="10" t="s">
        <v>199</v>
      </c>
      <c r="C388" s="80">
        <v>0.01</v>
      </c>
    </row>
    <row r="389" spans="1:4" x14ac:dyDescent="0.25">
      <c r="A389" s="10" t="s">
        <v>200</v>
      </c>
      <c r="B389" s="10" t="s">
        <v>201</v>
      </c>
      <c r="C389" s="80">
        <v>0</v>
      </c>
      <c r="D389" s="80">
        <v>15730000</v>
      </c>
    </row>
    <row r="390" spans="1:4" x14ac:dyDescent="0.25">
      <c r="A390" s="10" t="s">
        <v>202</v>
      </c>
      <c r="B390" s="10" t="s">
        <v>203</v>
      </c>
      <c r="C390" s="80">
        <v>7343436.9500000002</v>
      </c>
    </row>
    <row r="391" spans="1:4" x14ac:dyDescent="0.25">
      <c r="A391" s="10" t="s">
        <v>206</v>
      </c>
      <c r="B391" s="10" t="s">
        <v>207</v>
      </c>
      <c r="C391" s="80">
        <v>1202328</v>
      </c>
    </row>
    <row r="392" spans="1:4" x14ac:dyDescent="0.25">
      <c r="A392" s="10" t="s">
        <v>208</v>
      </c>
      <c r="B392" s="10" t="s">
        <v>209</v>
      </c>
      <c r="C392" s="80">
        <v>7631712</v>
      </c>
    </row>
    <row r="393" spans="1:4" x14ac:dyDescent="0.25">
      <c r="C393" s="117">
        <f>SUM(C385:C392)</f>
        <v>45920338.260000005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CAMPO FUERTE</vt:lpstr>
      <vt:lpstr>AUTOMAT</vt:lpstr>
      <vt:lpstr>FLUVIOMAT</vt:lpstr>
      <vt:lpstr>INDUMAT</vt:lpstr>
      <vt:lpstr>ABSA</vt:lpstr>
      <vt:lpstr>ADESSO</vt:lpstr>
      <vt:lpstr>AGUAS RIONEGRINAS</vt:lpstr>
      <vt:lpstr>ALEMARSA</vt:lpstr>
      <vt:lpstr>COOP. COSERCO CORONDA</vt:lpstr>
      <vt:lpstr>COOP OB Y SERV ST TERESITA </vt:lpstr>
      <vt:lpstr>DESOB.ARGENTINA ASHIRA</vt:lpstr>
      <vt:lpstr>ENTE MUNIC SERV</vt:lpstr>
      <vt:lpstr>MUNIC BERAZATEGUI</vt:lpstr>
      <vt:lpstr>MUNIC JUNIN</vt:lpstr>
      <vt:lpstr>MUNIC SANTA ROSA</vt:lpstr>
      <vt:lpstr>MUNIC SAN MARTIN</vt:lpstr>
      <vt:lpstr>MUNIC TRES ARROYOS</vt:lpstr>
      <vt:lpstr>OB SANIT MDP</vt:lpstr>
      <vt:lpstr>SERV AGUA MISIONES</vt:lpstr>
      <vt:lpstr>SERV IBARRA</vt:lpstr>
      <vt:lpstr>SOC COOP</vt:lpstr>
      <vt:lpstr>RESUMEN 2026</vt:lpstr>
      <vt:lpstr>saldo tango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Jorgelina</dc:creator>
  <cp:lastModifiedBy>Administracion 4</cp:lastModifiedBy>
  <dcterms:created xsi:type="dcterms:W3CDTF">2023-09-06T18:36:15Z</dcterms:created>
  <dcterms:modified xsi:type="dcterms:W3CDTF">2026-01-23T17:52:30Z</dcterms:modified>
</cp:coreProperties>
</file>