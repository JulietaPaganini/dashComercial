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ulietapaganini/Documents/00 Marketing e IT/Antigravity/Dashboard Ventas y Clientes OCME/"/>
    </mc:Choice>
  </mc:AlternateContent>
  <xr:revisionPtr revIDLastSave="0" documentId="13_ncr:1_{F4BE13B6-26EB-0041-B420-F0978FEB2D9B}" xr6:coauthVersionLast="47" xr6:coauthVersionMax="47" xr10:uidLastSave="{00000000-0000-0000-0000-000000000000}"/>
  <bookViews>
    <workbookView xWindow="-37460" yWindow="600" windowWidth="37460" windowHeight="21000" xr2:uid="{00000000-000D-0000-FFFF-FFFF00000000}"/>
  </bookViews>
  <sheets>
    <sheet name="PRESUPUESTOS" sheetId="1" r:id="rId1"/>
    <sheet name="VENTAS" sheetId="2" r:id="rId2"/>
    <sheet name="HISTORICO" sheetId="3" state="hidden" r:id="rId3"/>
    <sheet name="2024 Cotizaciones" sheetId="4" state="hidden" r:id="rId4"/>
  </sheets>
  <definedNames>
    <definedName name="_xlnm._FilterDatabase" localSheetId="2" hidden="1">HISTORICO!$D$1:$D$1016</definedName>
    <definedName name="_xlnm._FilterDatabase" localSheetId="0" hidden="1">PRESUPUESTOS!$A$1:$H$177</definedName>
    <definedName name="_xlnm._FilterDatabase" localSheetId="1" hidden="1">VENTAS!$H$1:$H$1009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C51" i="3"/>
  <c r="B51" i="3"/>
  <c r="G50" i="3"/>
  <c r="C50" i="3"/>
  <c r="B50" i="3"/>
  <c r="G49" i="3"/>
  <c r="C49" i="3"/>
  <c r="B49" i="3"/>
  <c r="G48" i="3"/>
  <c r="C48" i="3"/>
  <c r="B48" i="3"/>
  <c r="G47" i="3"/>
  <c r="C47" i="3"/>
  <c r="B47" i="3"/>
  <c r="G46" i="3"/>
  <c r="C46" i="3"/>
  <c r="B46" i="3"/>
  <c r="G45" i="3"/>
  <c r="C45" i="3"/>
  <c r="B45" i="3"/>
  <c r="G44" i="3"/>
  <c r="C44" i="3"/>
  <c r="B44" i="3"/>
  <c r="G43" i="3"/>
  <c r="C43" i="3"/>
  <c r="B43" i="3"/>
  <c r="G42" i="3"/>
  <c r="C42" i="3"/>
  <c r="B42" i="3"/>
  <c r="G41" i="3"/>
  <c r="C41" i="3"/>
  <c r="B41" i="3"/>
  <c r="G40" i="3"/>
  <c r="C40" i="3"/>
  <c r="B40" i="3"/>
  <c r="G39" i="3"/>
  <c r="C39" i="3"/>
  <c r="B39" i="3"/>
  <c r="G38" i="3"/>
  <c r="C38" i="3"/>
  <c r="B38" i="3"/>
  <c r="G37" i="3"/>
  <c r="C37" i="3"/>
  <c r="B37" i="3"/>
  <c r="G36" i="3"/>
  <c r="C36" i="3"/>
  <c r="B36" i="3"/>
  <c r="G35" i="3"/>
  <c r="C35" i="3"/>
  <c r="B35" i="3"/>
  <c r="G34" i="3"/>
  <c r="C34" i="3"/>
  <c r="B34" i="3"/>
  <c r="G33" i="3"/>
  <c r="C33" i="3"/>
  <c r="B33" i="3"/>
  <c r="G32" i="3"/>
  <c r="C32" i="3"/>
  <c r="B32" i="3"/>
  <c r="G31" i="3"/>
  <c r="C31" i="3"/>
  <c r="B31" i="3"/>
  <c r="G30" i="3"/>
  <c r="C30" i="3"/>
  <c r="B30" i="3"/>
  <c r="G28" i="3"/>
  <c r="C28" i="3"/>
  <c r="B28" i="3"/>
  <c r="G27" i="3"/>
  <c r="C27" i="3"/>
  <c r="B27" i="3"/>
  <c r="G26" i="3"/>
  <c r="C26" i="3"/>
  <c r="B26" i="3"/>
  <c r="G25" i="3"/>
  <c r="C25" i="3"/>
  <c r="B25" i="3"/>
  <c r="G24" i="3"/>
  <c r="C24" i="3"/>
  <c r="B24" i="3"/>
  <c r="G23" i="3"/>
  <c r="C23" i="3"/>
  <c r="B23" i="3"/>
  <c r="G22" i="3"/>
  <c r="C22" i="3"/>
  <c r="B22" i="3"/>
  <c r="G21" i="3"/>
  <c r="C21" i="3"/>
  <c r="B21" i="3"/>
  <c r="G20" i="3"/>
  <c r="C20" i="3"/>
  <c r="B20" i="3"/>
  <c r="G19" i="3"/>
  <c r="C19" i="3"/>
  <c r="B19" i="3"/>
  <c r="G18" i="3"/>
  <c r="C18" i="3"/>
  <c r="B18" i="3"/>
  <c r="G17" i="3"/>
  <c r="C17" i="3"/>
  <c r="B17" i="3"/>
  <c r="G16" i="3"/>
  <c r="C16" i="3"/>
  <c r="B16" i="3"/>
  <c r="G15" i="3"/>
  <c r="C15" i="3"/>
  <c r="B15" i="3"/>
  <c r="G14" i="3"/>
  <c r="C14" i="3"/>
  <c r="B14" i="3"/>
  <c r="G13" i="3"/>
  <c r="C13" i="3"/>
  <c r="B13" i="3"/>
  <c r="G12" i="3"/>
  <c r="C12" i="3"/>
  <c r="B12" i="3"/>
  <c r="G11" i="3"/>
  <c r="C11" i="3"/>
  <c r="B11" i="3"/>
  <c r="G10" i="3"/>
  <c r="C10" i="3"/>
  <c r="B10" i="3"/>
  <c r="G9" i="3"/>
  <c r="C9" i="3"/>
  <c r="B9" i="3"/>
  <c r="G8" i="3"/>
  <c r="C8" i="3"/>
  <c r="B8" i="3"/>
  <c r="G7" i="3"/>
  <c r="C7" i="3"/>
  <c r="B7" i="3"/>
  <c r="G6" i="3"/>
  <c r="C6" i="3"/>
  <c r="B6" i="3"/>
  <c r="G5" i="3"/>
  <c r="C5" i="3"/>
  <c r="B5" i="3"/>
  <c r="G4" i="3"/>
  <c r="C4" i="3"/>
  <c r="B4" i="3"/>
  <c r="C3" i="3"/>
  <c r="B3" i="3"/>
  <c r="C2" i="3"/>
  <c r="B2" i="3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M35" i="2"/>
  <c r="L35" i="2" s="1"/>
  <c r="I35" i="2"/>
  <c r="H35" i="2"/>
  <c r="M34" i="2"/>
  <c r="L34" i="2" s="1"/>
  <c r="I34" i="2"/>
  <c r="H34" i="2"/>
  <c r="M33" i="2"/>
  <c r="L33" i="2"/>
  <c r="I33" i="2"/>
  <c r="H33" i="2"/>
  <c r="M32" i="2"/>
  <c r="L32" i="2"/>
  <c r="I32" i="2"/>
  <c r="H32" i="2"/>
  <c r="M31" i="2"/>
  <c r="L31" i="2" s="1"/>
  <c r="I31" i="2"/>
  <c r="H31" i="2"/>
  <c r="M30" i="2"/>
  <c r="L30" i="2"/>
  <c r="I30" i="2"/>
  <c r="H30" i="2"/>
  <c r="M29" i="2"/>
  <c r="L29" i="2" s="1"/>
  <c r="I29" i="2"/>
  <c r="H29" i="2"/>
  <c r="M28" i="2"/>
  <c r="L28" i="2"/>
  <c r="I28" i="2"/>
  <c r="H28" i="2"/>
  <c r="M27" i="2"/>
  <c r="L27" i="2"/>
  <c r="I27" i="2"/>
  <c r="H27" i="2"/>
  <c r="M26" i="2"/>
  <c r="L26" i="2" s="1"/>
  <c r="I26" i="2"/>
  <c r="H26" i="2"/>
  <c r="M25" i="2"/>
  <c r="L25" i="2" s="1"/>
  <c r="I25" i="2"/>
  <c r="H25" i="2"/>
  <c r="M24" i="2"/>
  <c r="L24" i="2"/>
  <c r="I24" i="2"/>
  <c r="H24" i="2"/>
  <c r="M23" i="2"/>
  <c r="L23" i="2" s="1"/>
  <c r="I23" i="2"/>
  <c r="H23" i="2"/>
  <c r="M22" i="2"/>
  <c r="L22" i="2"/>
  <c r="H22" i="2"/>
  <c r="M21" i="2"/>
  <c r="L21" i="2" s="1"/>
  <c r="I21" i="2"/>
  <c r="H21" i="2"/>
  <c r="M20" i="2"/>
  <c r="L20" i="2" s="1"/>
  <c r="I20" i="2"/>
  <c r="H20" i="2"/>
  <c r="M19" i="2"/>
  <c r="L19" i="2"/>
  <c r="I19" i="2"/>
  <c r="H19" i="2"/>
  <c r="M18" i="2"/>
  <c r="L18" i="2"/>
  <c r="I18" i="2"/>
  <c r="H18" i="2"/>
  <c r="M17" i="2"/>
  <c r="L17" i="2"/>
  <c r="I17" i="2"/>
  <c r="H17" i="2"/>
  <c r="M16" i="2"/>
  <c r="L16" i="2" s="1"/>
  <c r="I16" i="2"/>
  <c r="H16" i="2"/>
  <c r="M15" i="2"/>
  <c r="L15" i="2"/>
  <c r="I15" i="2"/>
  <c r="H15" i="2"/>
  <c r="M14" i="2"/>
  <c r="L14" i="2"/>
  <c r="I14" i="2"/>
  <c r="H14" i="2"/>
  <c r="M13" i="2"/>
  <c r="L13" i="2"/>
  <c r="I13" i="2"/>
  <c r="H13" i="2"/>
  <c r="M12" i="2"/>
  <c r="L12" i="2"/>
  <c r="I12" i="2"/>
  <c r="H12" i="2"/>
  <c r="M11" i="2"/>
  <c r="L11" i="2" s="1"/>
  <c r="I11" i="2"/>
  <c r="H11" i="2"/>
  <c r="M10" i="2"/>
  <c r="L10" i="2" s="1"/>
  <c r="H10" i="2"/>
  <c r="M9" i="2"/>
  <c r="L9" i="2"/>
  <c r="I9" i="2"/>
  <c r="H9" i="2"/>
  <c r="M8" i="2"/>
  <c r="L8" i="2"/>
  <c r="I8" i="2"/>
  <c r="H8" i="2"/>
  <c r="M7" i="2"/>
  <c r="L7" i="2"/>
  <c r="I7" i="2"/>
  <c r="H7" i="2"/>
  <c r="M6" i="2"/>
  <c r="L6" i="2" s="1"/>
  <c r="I6" i="2"/>
  <c r="H6" i="2"/>
  <c r="M5" i="2"/>
  <c r="L5" i="2"/>
  <c r="I5" i="2"/>
  <c r="H5" i="2"/>
  <c r="M4" i="2"/>
  <c r="L4" i="2" s="1"/>
  <c r="I4" i="2"/>
  <c r="H4" i="2"/>
  <c r="M3" i="2"/>
  <c r="L3" i="2"/>
  <c r="I3" i="2"/>
  <c r="H3" i="2"/>
  <c r="M2" i="2"/>
  <c r="L2" i="2" s="1"/>
  <c r="I2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 xml:space="preserve">2 SEMANAS DE DEMORA DE GALPA PARA FINALIZAR ENTREEGA.
</t>
        </r>
      </text>
    </comment>
  </commentList>
</comments>
</file>

<file path=xl/sharedStrings.xml><?xml version="1.0" encoding="utf-8"?>
<sst xmlns="http://schemas.openxmlformats.org/spreadsheetml/2006/main" count="1706" uniqueCount="523">
  <si>
    <t xml:space="preserve">Nº </t>
  </si>
  <si>
    <t>FECHA</t>
  </si>
  <si>
    <t>CLIENTE</t>
  </si>
  <si>
    <t>EQUIPO - PATENTE</t>
  </si>
  <si>
    <t>DESCRIPCION</t>
  </si>
  <si>
    <t>A FACTURAR</t>
  </si>
  <si>
    <t>ESTADO</t>
  </si>
  <si>
    <t>OBSERVACIONES</t>
  </si>
  <si>
    <t>INDUMAT V.C</t>
  </si>
  <si>
    <t>MV41</t>
  </si>
  <si>
    <t>NO APROBADO</t>
  </si>
  <si>
    <t>INDUMAT</t>
  </si>
  <si>
    <t>JETSTREAM GAP01</t>
  </si>
  <si>
    <t>TRES ARROYOS</t>
  </si>
  <si>
    <t>-</t>
  </si>
  <si>
    <t>MANGUERA DESOBSTRUCTORA</t>
  </si>
  <si>
    <t>$ 6.006.056,81</t>
  </si>
  <si>
    <t>APROBADO</t>
  </si>
  <si>
    <t>PAGADO, FINALIZADO.</t>
  </si>
  <si>
    <t>SYL</t>
  </si>
  <si>
    <t>FURGON CHEVY VAN 30</t>
  </si>
  <si>
    <t>$ 485.000,00</t>
  </si>
  <si>
    <t>ABSA - LA PLATA</t>
  </si>
  <si>
    <t>AA-247-RA</t>
  </si>
  <si>
    <t>NO APLICA</t>
  </si>
  <si>
    <t>SE VA PASAR EL PRESUPUESTO HASTA DONDE SE HIZO Y QUEDAN PENDIENTE ALGUNOS REPUESTOS PARA LA FINALIZACION</t>
  </si>
  <si>
    <t>AA-717-YH</t>
  </si>
  <si>
    <t>TIENE QUE VOLVER A FORD PARA UN SENSOR (ESPERANDO RESPUESTA DE FORD)</t>
  </si>
  <si>
    <t>SYL (La Plata)</t>
  </si>
  <si>
    <t>MV29</t>
  </si>
  <si>
    <t>CLIENTE INTERNO</t>
  </si>
  <si>
    <t>COTIZADO</t>
  </si>
  <si>
    <t>MV26</t>
  </si>
  <si>
    <t>ABSA</t>
  </si>
  <si>
    <t>AA-717-YL</t>
  </si>
  <si>
    <t>SE REALIZO UNA INSPECCION PARCIAL EN LA PLATA DE ABSA LA PLATA (SIN EFECTO, SE COBRA TODO JUNTO CON ACARREO)</t>
  </si>
  <si>
    <t>SIN EFECTO</t>
  </si>
  <si>
    <t>MV 25</t>
  </si>
  <si>
    <t>PENDIENTE</t>
  </si>
  <si>
    <t>AA-717-YM</t>
  </si>
  <si>
    <t>ACARREO Y INSPECCION</t>
  </si>
  <si>
    <t>ACARREO Y INSPECCION DE CAMIONES DE ABSA  (AA-717-YL, AA-717-YM) ESPERANDO CONFIRMACION</t>
  </si>
  <si>
    <t>1.395.900</t>
  </si>
  <si>
    <t>ABSA - REGION 5</t>
  </si>
  <si>
    <t>AA-698-SW</t>
  </si>
  <si>
    <t>ARREGLO EN GENERAL, EN REPARACION</t>
  </si>
  <si>
    <t>ENVIADO</t>
  </si>
  <si>
    <t>SyL</t>
  </si>
  <si>
    <t>MV21</t>
  </si>
  <si>
    <t>MUNI BERAZATEGUI</t>
  </si>
  <si>
    <t>VACTOR 2100</t>
  </si>
  <si>
    <t>COTIZACION DE REPUESTO COLLAR ASSEMBLY TWIN DISC, ESPERANDO REPUESTA DEL CLIENTE</t>
  </si>
  <si>
    <t>MUNI MAR DEL PLATA</t>
  </si>
  <si>
    <t>JET-VAC 4075</t>
  </si>
  <si>
    <t>MANGUERAS Y ACOPLES  (CONCURSO DE PRECIOS, ESPERANDO RESPUESTA)</t>
  </si>
  <si>
    <t>MUNI MAR DEL PLATA OSSE</t>
  </si>
  <si>
    <t>JET-VAC 4075/4500</t>
  </si>
  <si>
    <t>FILTROS Y VALVULAS</t>
  </si>
  <si>
    <t>?</t>
  </si>
  <si>
    <t>AGUAS RIONEGRINAS</t>
  </si>
  <si>
    <t>NO ESPECIFICO</t>
  </si>
  <si>
    <t>TOBERA SAPO 1" , ENVIADO ESPERANDO RESPUESTA.</t>
  </si>
  <si>
    <t xml:space="preserve">ACARREO Y INSPECCION DE CAMIONES DE ABSA  (AA-717-YL, AA-717-YM) </t>
  </si>
  <si>
    <t>SERVICOOP</t>
  </si>
  <si>
    <t>MANGUERA DESOB 1" Y 3/4"</t>
  </si>
  <si>
    <t>$9.023.300,00</t>
  </si>
  <si>
    <t>PLANCHUELA</t>
  </si>
  <si>
    <t>ABSA - LINCOLN</t>
  </si>
  <si>
    <t>JET VAC 4075 - AA-717-YI</t>
  </si>
  <si>
    <t>ARREGLOS EN GENERAL</t>
  </si>
  <si>
    <t>FLUVIOMAT</t>
  </si>
  <si>
    <t>MV09</t>
  </si>
  <si>
    <t>MANGUERA DESOBSTRUCTORA 1" X 150MTS</t>
  </si>
  <si>
    <t>$6.460.238</t>
  </si>
  <si>
    <t>HR INDUSTRIAL</t>
  </si>
  <si>
    <t>$7.000.000</t>
  </si>
  <si>
    <t>SERVICIOS IBARRA</t>
  </si>
  <si>
    <t>REJA CANASTO Y BOYA</t>
  </si>
  <si>
    <t>$800.000 (+IVA)</t>
  </si>
  <si>
    <t>MV33</t>
  </si>
  <si>
    <t xml:space="preserve">$ 2.257.200,00   
</t>
  </si>
  <si>
    <t>OSSE</t>
  </si>
  <si>
    <t>BOMBA KS40</t>
  </si>
  <si>
    <t>$19.132.219,92</t>
  </si>
  <si>
    <t>4075 (AA-717-YL) (AA-717-YM)</t>
  </si>
  <si>
    <t>ACARREO DE CAMIONES</t>
  </si>
  <si>
    <t>$880.000 (+IVA)</t>
  </si>
  <si>
    <t>OC RECIBIDA EL 7/8 , FC ENVIADA</t>
  </si>
  <si>
    <t>BENITO ROGGIO</t>
  </si>
  <si>
    <t>JET-VAC 5010 CB</t>
  </si>
  <si>
    <t>EQUIPO 0KM (4 CAMIONES) CONFIGURACION A</t>
  </si>
  <si>
    <t xml:space="preserve">USD 263.310 </t>
  </si>
  <si>
    <t>EQUIPO 0KM (4 CAMIONES) CONFIGURACION B</t>
  </si>
  <si>
    <t xml:space="preserve">USD 275.563 </t>
  </si>
  <si>
    <t>EQUIPO 0KM (4 CAMIONES) CONFIGURACION C</t>
  </si>
  <si>
    <t xml:space="preserve">USD 292.514 </t>
  </si>
  <si>
    <t>AGUASSANTAFESINAS</t>
  </si>
  <si>
    <t>4 MANGUEROTES DE 8"</t>
  </si>
  <si>
    <t xml:space="preserve">TERCERIZADO FORD CIRCUITO DE COMBUSTIBLE </t>
  </si>
  <si>
    <t>$1.980.000</t>
  </si>
  <si>
    <t>FTS-456</t>
  </si>
  <si>
    <t>216HS</t>
  </si>
  <si>
    <t>M. JUNIN</t>
  </si>
  <si>
    <t>Hidro JET 4500</t>
  </si>
  <si>
    <t>MANGUERA DESOBSTRUCTORA 1" X 150MTS Y 3/4 MARCA ZEC ITALIA</t>
  </si>
  <si>
    <t>M.BERAZATEGUI</t>
  </si>
  <si>
    <t>RELAY 12V</t>
  </si>
  <si>
    <t>AUTOMAT - OBRAS</t>
  </si>
  <si>
    <t>CARRETON</t>
  </si>
  <si>
    <t>ABSA - CAÑUELAS</t>
  </si>
  <si>
    <t>SOPLADOR REPYCKY R3.8 (BLOWER)</t>
  </si>
  <si>
    <t>BLOWER NUVO PARA EQUIPO AA-698-SW</t>
  </si>
  <si>
    <t>CORONA DE GIRO DE CARRETEL VACTOR</t>
  </si>
  <si>
    <t>$7.223.437</t>
  </si>
  <si>
    <t>REPUESTOS VARIOS</t>
  </si>
  <si>
    <t>ENGRANAJES DE CAJA COTTA</t>
  </si>
  <si>
    <t>USD19.833</t>
  </si>
  <si>
    <t>JET VAC 4075?</t>
  </si>
  <si>
    <t>MANGUERA DESOBSTRUCTORA 1"</t>
  </si>
  <si>
    <t>$7.754.020</t>
  </si>
  <si>
    <t>BURLETE DE SELLO DE TANQUE</t>
  </si>
  <si>
    <t>SAMSA</t>
  </si>
  <si>
    <t>HIDROVACUO</t>
  </si>
  <si>
    <t xml:space="preserve">TOBERAS </t>
  </si>
  <si>
    <t>SUMMIT NQN SA</t>
  </si>
  <si>
    <t>USD 263.310</t>
  </si>
  <si>
    <t>EQUIPOS 0KM</t>
  </si>
  <si>
    <t>USD 275.563</t>
  </si>
  <si>
    <t>USD 292.514</t>
  </si>
  <si>
    <t>JET-VAC 4500-D</t>
  </si>
  <si>
    <t>FILTRO ACERO INOXIDABLE, RETENCION 200 MICRONES DE 70 H: 138MM ESTAÑADO</t>
  </si>
  <si>
    <t>M.JUNIN</t>
  </si>
  <si>
    <t>FILTRO ACERO INOXIDABLE, RETENCION 200 MICRONES DE 70 H: 138MM ESTAÑADO, VALVULA DESVIAORA</t>
  </si>
  <si>
    <t>CONCRETADO!</t>
  </si>
  <si>
    <t>EMBRAGUE CAJA COTA</t>
  </si>
  <si>
    <t>USD 4.790</t>
  </si>
  <si>
    <t>TANQUE DE AGUA LADO ACOMPAÑANTE SUPERIOR</t>
  </si>
  <si>
    <t>USD7400</t>
  </si>
  <si>
    <t>ABSA - LAS FLORES</t>
  </si>
  <si>
    <t>HIDROJET- SCORZA</t>
  </si>
  <si>
    <t>INSPECCION DE ARREGLOS EN GENERAL</t>
  </si>
  <si>
    <t>ADAPTACION DE BOMBA Y ARREGLOS EN GENERAL</t>
  </si>
  <si>
    <t>JET-VAC-4075</t>
  </si>
  <si>
    <t>INSPECCION Y ARREGLOS EN GENERAL</t>
  </si>
  <si>
    <t>REPARACIONES EN GENERAL</t>
  </si>
  <si>
    <t>M. Trenque Lauquen</t>
  </si>
  <si>
    <t>SCORZA</t>
  </si>
  <si>
    <t>EN EL PRECIO ESTA INCLUIDO EL ENVIO</t>
  </si>
  <si>
    <t>TOBERAS, GRANADA OVOIDAL 3/4</t>
  </si>
  <si>
    <t>DOS TOBERAS GRANADA Y UNA OVOIDAL</t>
  </si>
  <si>
    <t>REPARACION BOMBA DE AGUA</t>
  </si>
  <si>
    <t>ESPERANDO PAGO</t>
  </si>
  <si>
    <t>ABROCHADORA HIDRAULICA</t>
  </si>
  <si>
    <t>PRENSA PARA MANGUERAS HIDRAULICAS IN SITU</t>
  </si>
  <si>
    <t>SE COTIZO 3 OPCIONES DISTINTAS, ESPERANDO QUE DEFINA CUAL ES DE SU INTERES</t>
  </si>
  <si>
    <t>AESA (YFP)</t>
  </si>
  <si>
    <t>JET-VAC 5010-CB</t>
  </si>
  <si>
    <t>CONFIGURACION A</t>
  </si>
  <si>
    <t>EQUIPO 0KM</t>
  </si>
  <si>
    <t>CONFIGURACION B</t>
  </si>
  <si>
    <t>CONFIGURACION C</t>
  </si>
  <si>
    <t>EMSADE</t>
  </si>
  <si>
    <t>MANGUERA 1"</t>
  </si>
  <si>
    <t>AGUAS DE FORMOSA</t>
  </si>
  <si>
    <t>N/A</t>
  </si>
  <si>
    <t>MANGUERA DE 12"</t>
  </si>
  <si>
    <t>USD 13.830</t>
  </si>
  <si>
    <t>MANGUEROTE 12"</t>
  </si>
  <si>
    <t>ABSA-CAÑUELAS</t>
  </si>
  <si>
    <t>CILINDRO DE TANQUE</t>
  </si>
  <si>
    <t>CILINDRO ELEVACION TANQUE DE EQUIPO JET-VAC 4075</t>
  </si>
  <si>
    <t>EQUIPO JET-VAC 5010 CB</t>
  </si>
  <si>
    <t>USD 250.121</t>
  </si>
  <si>
    <t xml:space="preserve">CODO GIRATORIO </t>
  </si>
  <si>
    <t>VALVULA DE TRES VIAS</t>
  </si>
  <si>
    <t>VALVULA DESVIADORA TRES VIAS</t>
  </si>
  <si>
    <t>MANGUERA DESOBTRUCTORA 1"</t>
  </si>
  <si>
    <t>JET-VAC 5010</t>
  </si>
  <si>
    <t>EQUIPO JET-VAC 5010 CB CONFIGURACION A</t>
  </si>
  <si>
    <t>USD 242.739</t>
  </si>
  <si>
    <t>EQUIPO JET-VAC 5010 CB CONFIGURACION B</t>
  </si>
  <si>
    <t>USD 254.034</t>
  </si>
  <si>
    <t>EQUIPO JET-VAC 5010 CB CONFIGURACION C</t>
  </si>
  <si>
    <t>USD 269.661</t>
  </si>
  <si>
    <t>REPUESTO</t>
  </si>
  <si>
    <t>RODAMIENTO PARA CARRETEL VACTOR</t>
  </si>
  <si>
    <t>REPARACION DE EMBRAGUE Y ARREGLOS EN GENERAL</t>
  </si>
  <si>
    <t>MUNICIPALIDAD DE SALADILLO</t>
  </si>
  <si>
    <t>MANGUERA , TOBERAS</t>
  </si>
  <si>
    <t>MANGUERAS DESOB DE 1" Y 3/4 MARCA ZEC</t>
  </si>
  <si>
    <t>CODO GIRATORIO 1"</t>
  </si>
  <si>
    <t>DOS CODOS GIRATORIOS DE 1" PARA EQUIPO JET-VAC 4500-D</t>
  </si>
  <si>
    <t>SCPL</t>
  </si>
  <si>
    <t>ITECSA</t>
  </si>
  <si>
    <t xml:space="preserve">TOBERAS Y ABRAZADERAS </t>
  </si>
  <si>
    <t>MANGUERAS DESOB DE 1", TOBERAS, ABRAZADERAS, MANGUEROTE 8" 7m</t>
  </si>
  <si>
    <t>REPARACION DE BOMBA RODER</t>
  </si>
  <si>
    <t>REPARACION EN GENERAL DE BOMBA</t>
  </si>
  <si>
    <t>REPARACION EN GENERAL</t>
  </si>
  <si>
    <t xml:space="preserve">REPARACION EN GENERAL PARA EQUIPO </t>
  </si>
  <si>
    <t>MUNICIPALIDAD DE JUNIN</t>
  </si>
  <si>
    <t>MANGUERA DE 3/4 DESOBSTRUCTORA</t>
  </si>
  <si>
    <t>MANGUERA DE CARRETEL</t>
  </si>
  <si>
    <t>MUNICIPALIDAD TRES ARROYOS</t>
  </si>
  <si>
    <t>REPARACION DE EQUIPO EN GENERAL</t>
  </si>
  <si>
    <t>MANGUEROTE DE SUBCCION 8"</t>
  </si>
  <si>
    <t>MANGUEROTE DE PLUMA</t>
  </si>
  <si>
    <t>CODO GIRATORIO 1" , MANGUEROTE DE 8"</t>
  </si>
  <si>
    <t>CODO GIRATORIO Y MANGUEROTE DE SUBCCION DE PLUMA</t>
  </si>
  <si>
    <t>HIDROJET 4500</t>
  </si>
  <si>
    <t>MANGUERA 3/4 DESOB</t>
  </si>
  <si>
    <t>MANGUERA PARA HIDROJET 4500-D</t>
  </si>
  <si>
    <t>MUNICIPALIDAD DE BERAZATEGUI</t>
  </si>
  <si>
    <t>CAMISA Y RETIFICADO DE CUERPO DE BOMBA</t>
  </si>
  <si>
    <t>ANEXO A Nº314</t>
  </si>
  <si>
    <t>ABSA - LINCONL</t>
  </si>
  <si>
    <t>VALVULA Y CODO GIRATORIO</t>
  </si>
  <si>
    <t>CAMBIO DE CODO GIRATORIO Y VALVULAS</t>
  </si>
  <si>
    <t>NO ACLARA</t>
  </si>
  <si>
    <t>MANGUERA 3/4 DESOB Y TOBERAS</t>
  </si>
  <si>
    <t>ADESSOTECH</t>
  </si>
  <si>
    <t>ECONOVO</t>
  </si>
  <si>
    <t>TOBERA ALUMINIO 1"</t>
  </si>
  <si>
    <t>UNA TOBERA DE ALUMINIO</t>
  </si>
  <si>
    <t>AUAS RIONEGRINAS</t>
  </si>
  <si>
    <t>PUNTERAS Y ABRAZADERAS RAPIDAS 8"</t>
  </si>
  <si>
    <t>TANQUE DE AGUA LADO CHOFER</t>
  </si>
  <si>
    <t>COLOCACION DE TANQUE MAS SUNCHO</t>
  </si>
  <si>
    <t>TAPA  DE TANQUE DESPERDICIO</t>
  </si>
  <si>
    <t>FABRICACION DE TANQUE DE DESPERDICIO</t>
  </si>
  <si>
    <t>AQUATECH</t>
  </si>
  <si>
    <t>INSPECCION IN SITU NEUQUEN</t>
  </si>
  <si>
    <t>2 TECNICOS VIAJAN A NEUQUEN PARA DIAGNOSTICO DE EQUIPO</t>
  </si>
  <si>
    <t>CODO GIRATORIO 1" Y VALVULA ESFERICA 3 VIAS 1"</t>
  </si>
  <si>
    <t>5 ITEMS DE CADA UNO</t>
  </si>
  <si>
    <t>MANGUERA DESOB 3/4</t>
  </si>
  <si>
    <t>BOMBA RODDER</t>
  </si>
  <si>
    <t>VENTA DE BOMBA NUEVA</t>
  </si>
  <si>
    <t>PROBLEMAS EN GENERAL</t>
  </si>
  <si>
    <t>SASU INDUSTRIAL</t>
  </si>
  <si>
    <t>TOBERAS</t>
  </si>
  <si>
    <t>TOBERAS VARIAS</t>
  </si>
  <si>
    <t>REDUCTOR DE 8" A 6"</t>
  </si>
  <si>
    <t>REDUCTOR DE MANGUERA DE 8" A 6"</t>
  </si>
  <si>
    <t>ADAPTACION BOMBA DE AGUA</t>
  </si>
  <si>
    <t>ADAPTACION BOMBA DE AGUA PRATISSOLI (USD)</t>
  </si>
  <si>
    <t>MANGUERAS DESOB</t>
  </si>
  <si>
    <t>MANGUERAS 1" Y 3/4"</t>
  </si>
  <si>
    <t>BASAA</t>
  </si>
  <si>
    <t>EQUIPO 0KM (precio en usd)</t>
  </si>
  <si>
    <t>ABSA-LA PLATA</t>
  </si>
  <si>
    <t xml:space="preserve">CODO GIRATORIO 1" </t>
  </si>
  <si>
    <t>2 CODOS GIRATORIOS 1"</t>
  </si>
  <si>
    <t>COPESA SA</t>
  </si>
  <si>
    <t>ECOVAC SERVICIOS</t>
  </si>
  <si>
    <t>INSUMOS</t>
  </si>
  <si>
    <t>TOBERAS , MANGUERA</t>
  </si>
  <si>
    <t>AGUAS SANTAFESINAS</t>
  </si>
  <si>
    <t>4 MANGUERAS DESOB 1"</t>
  </si>
  <si>
    <t>LA NUEVA DESOBSTRUCTORA</t>
  </si>
  <si>
    <t>INSUSMOS</t>
  </si>
  <si>
    <t>INSUMOS VARIOS</t>
  </si>
  <si>
    <t>ABSA -CAÑUELAS</t>
  </si>
  <si>
    <t>NOVEDADES</t>
  </si>
  <si>
    <t>NOVEDADES DE REPARACION Nº249</t>
  </si>
  <si>
    <t>BURLETE</t>
  </si>
  <si>
    <t>BURLETE DE PLUMA A TANQUE DE DESPERDICIO</t>
  </si>
  <si>
    <t>AGUAS DE SANTIAGO</t>
  </si>
  <si>
    <t>TOBERA PENETRANTE 1" (12 UNID)</t>
  </si>
  <si>
    <t>MUNICIPALIDAD SANTA ROSA</t>
  </si>
  <si>
    <t>COMBINADO</t>
  </si>
  <si>
    <t>SERVICIOS DE TRASLADO</t>
  </si>
  <si>
    <t>SERVICIO DE TRASLADO</t>
  </si>
  <si>
    <t>30/24/25</t>
  </si>
  <si>
    <t>ABSA LA PLATA</t>
  </si>
  <si>
    <t>BLOWER</t>
  </si>
  <si>
    <t>CAMBIO DE SOPLADOR</t>
  </si>
  <si>
    <t>JET VAC 4500-D</t>
  </si>
  <si>
    <t>SCORZA COMBINADO</t>
  </si>
  <si>
    <t xml:space="preserve">REPARACION EN CAJA DE TRANSFERENCIA </t>
  </si>
  <si>
    <t>Y VARIOS ARREGLOS EN GENERAL</t>
  </si>
  <si>
    <t>MUNICIPALIDAD DE MORON</t>
  </si>
  <si>
    <t>VACTOR</t>
  </si>
  <si>
    <t>REPARACION MOTOR</t>
  </si>
  <si>
    <t>REPARACION DE MOTOR</t>
  </si>
  <si>
    <t>AUTOMAT</t>
  </si>
  <si>
    <t>SERVICIO DE ARENADO</t>
  </si>
  <si>
    <t>ARENADO DE VIGAS</t>
  </si>
  <si>
    <t>SERVICIO DE ARENADO DE VIGA</t>
  </si>
  <si>
    <t>CASIUS</t>
  </si>
  <si>
    <t>FABRICACION DE EQUIPO JET-VAC 4500-D</t>
  </si>
  <si>
    <t>ASISTENCIA TECNICA 7 DIAS</t>
  </si>
  <si>
    <t>NOVEDADES DE REPARACION</t>
  </si>
  <si>
    <t>jeT-VAC 4075</t>
  </si>
  <si>
    <t>FILTRO</t>
  </si>
  <si>
    <t>FILTRO PARA EQUIPO HIDRO</t>
  </si>
  <si>
    <t>REPARACIONS EN GENERAL</t>
  </si>
  <si>
    <t>CONTROL REMOTO, EXTENSIBLE DE PLUMA, GUARDABARROS</t>
  </si>
  <si>
    <t>CARTEN - ECUADOR</t>
  </si>
  <si>
    <t>JUROP</t>
  </si>
  <si>
    <t>BURLETE DE PUERTA TANQUE</t>
  </si>
  <si>
    <t>CLIENTE DE ECUADOR</t>
  </si>
  <si>
    <t>TECVIAL</t>
  </si>
  <si>
    <t>SENSOR BOMBA RODDER + CABLE</t>
  </si>
  <si>
    <t>SENSOR Y CABLE</t>
  </si>
  <si>
    <t>TAPA DE CILINDROS Y MOTOR</t>
  </si>
  <si>
    <t>CILINDRO Y PERNOS DE PLUMA</t>
  </si>
  <si>
    <t>CILINDRO, MANGA PLANA 6", ABRAZADERA RAPIDA 8"</t>
  </si>
  <si>
    <t>HIDRO</t>
  </si>
  <si>
    <t>ADAPTACION DE BOMBA DE AGUA</t>
  </si>
  <si>
    <t>ADAPTACION DE DOS BOMBAS DE AGUA EN EQUIPOS HIDRO</t>
  </si>
  <si>
    <t>CASA FRANCHI</t>
  </si>
  <si>
    <t>LISTA DE PRECIOS DE TOBERAS</t>
  </si>
  <si>
    <t>AGREGADOS Y NOVEDADES</t>
  </si>
  <si>
    <t>AGREGADOS SUJETO A LA COTIZACION Nº290</t>
  </si>
  <si>
    <t>CABLE DE ACELERADOR</t>
  </si>
  <si>
    <t>CABLE COMANDO Y ACELERADOR</t>
  </si>
  <si>
    <t>MUNICIPALIDAD SANTA TERESITA</t>
  </si>
  <si>
    <t>MANGUERA MARCA ZEC ITALIANA DE 1"</t>
  </si>
  <si>
    <t>KIT DE REPARACION BOMBA DE AGUA</t>
  </si>
  <si>
    <t xml:space="preserve">JUEGO DE REPARACION BOMBA KF36 </t>
  </si>
  <si>
    <t>TOBERAS VARIAS 1"</t>
  </si>
  <si>
    <t>ABSA - PUNTA ALTA</t>
  </si>
  <si>
    <t>BOMBA DE AGUA PRATISSOLI KS40</t>
  </si>
  <si>
    <t>BOMBA DE AGUA</t>
  </si>
  <si>
    <t>PLAN DE MANTENIMIENTO</t>
  </si>
  <si>
    <t>MANTENIMIENTO DE EQUIPOS, PREVENTIVO Y GPS , PRECIO POR UNIDAD</t>
  </si>
  <si>
    <t>IMPERO HIDRAULICA</t>
  </si>
  <si>
    <t>TOBERAS, MANGUERAS</t>
  </si>
  <si>
    <t>TOBERAS Y MANGUERAS</t>
  </si>
  <si>
    <t>PARAGOLPE TRASERO</t>
  </si>
  <si>
    <t>REPARACIONES VARIAS</t>
  </si>
  <si>
    <t>TOBERAS 3/4"</t>
  </si>
  <si>
    <t>TOBERAS E INSUMOS VARIOS</t>
  </si>
  <si>
    <t>DESARME Y DIAGNOSTICO</t>
  </si>
  <si>
    <t>DESARME, INSPECCION Y DIAGNOSTICO, MO</t>
  </si>
  <si>
    <t>INSUMOS VARIOS, MANGUERA DESOB, TOBERAS, TERMINALES Y CAMISAS</t>
  </si>
  <si>
    <t>BURLETE DE TANQUE</t>
  </si>
  <si>
    <t>BURLETE DE TANQUE DE DESPERDICIO JET-VAC 4075</t>
  </si>
  <si>
    <t>TANQUE NUEVO 0KM</t>
  </si>
  <si>
    <t>TERMINALES PARA MANGUERA DE AGUA</t>
  </si>
  <si>
    <t>TERMINAL HG 2-1/2"</t>
  </si>
  <si>
    <t>AA-717-YI</t>
  </si>
  <si>
    <t>ASHIRA</t>
  </si>
  <si>
    <t>OVOIDAL 1", SAPO 1" (GRANDE)</t>
  </si>
  <si>
    <t>EQUIPO 0KM CON CHASIS</t>
  </si>
  <si>
    <t>CORPICO</t>
  </si>
  <si>
    <t>MANGUERA DESOBSRTUCTORA</t>
  </si>
  <si>
    <t>MANGUERA DE 3/4"</t>
  </si>
  <si>
    <t>EQUIPO OKM</t>
  </si>
  <si>
    <t>EQUIPO 0KM HIDROJETS</t>
  </si>
  <si>
    <t>MANGUERA DE 1"</t>
  </si>
  <si>
    <t>MANGUERA DESOBSTRUCTORA 3/4"</t>
  </si>
  <si>
    <t>COPERATIVA VILLA CONSTITUCION</t>
  </si>
  <si>
    <t>EQUIPO JET-VAC 4075</t>
  </si>
  <si>
    <t>EQUIPO VACTOR 2100! USADO</t>
  </si>
  <si>
    <t>EQUIPO USADO VACTOR 2100 SOBRE CHASIS</t>
  </si>
  <si>
    <t>OBTURADOR</t>
  </si>
  <si>
    <t>CIAGESER</t>
  </si>
  <si>
    <t>SP</t>
  </si>
  <si>
    <t>EQUIPO + CHASIS</t>
  </si>
  <si>
    <t>POBERAJ</t>
  </si>
  <si>
    <t>TOBERAS  VARIAS</t>
  </si>
  <si>
    <t>TOBERAS EN 1" Y 3/4"</t>
  </si>
  <si>
    <t>CAJA COTTA</t>
  </si>
  <si>
    <t>CAJA COTTA 0KM IMPORTADA DE EEUU</t>
  </si>
  <si>
    <t>TOBERAS EN 1"</t>
  </si>
  <si>
    <t xml:space="preserve">TOBERAS EN 1" </t>
  </si>
  <si>
    <t>BATERIA</t>
  </si>
  <si>
    <t>ABSA - REGION 2</t>
  </si>
  <si>
    <t>REPARACION DE CARRETEL</t>
  </si>
  <si>
    <t>REPARACION INTEGRAL DE CARRETEL</t>
  </si>
  <si>
    <t>COSERCO CORONDA</t>
  </si>
  <si>
    <t>MANGUERA 3/4"</t>
  </si>
  <si>
    <t>manguera ZEC</t>
  </si>
  <si>
    <t>ABSA REGION 2</t>
  </si>
  <si>
    <t xml:space="preserve">MANGUERAS 3/4" , 1" </t>
  </si>
  <si>
    <t>MANGUERAS ZEC</t>
  </si>
  <si>
    <t>REPARACION DE CAJA COTTA</t>
  </si>
  <si>
    <t>REPUESTOS CAJA COTTA Y REPARACION DE LA MISMA</t>
  </si>
  <si>
    <t>CAMBIO DE INYECTOR</t>
  </si>
  <si>
    <t>TRANSPORTE OLIVOS</t>
  </si>
  <si>
    <t>TANQUE DE DESPERDICIO</t>
  </si>
  <si>
    <t>FABRICACION DE TANQUE, TAPA Y COLOCACION</t>
  </si>
  <si>
    <t>TAPA, TANQUE Y MO</t>
  </si>
  <si>
    <t>BURLETES</t>
  </si>
  <si>
    <t>BURLETES FILTRO MALLA Y PLUMA</t>
  </si>
  <si>
    <t>HIDRAULICA IMPERIO</t>
  </si>
  <si>
    <t>REPUESTOS</t>
  </si>
  <si>
    <t>RIVAS ANDRES</t>
  </si>
  <si>
    <t>MUNICIPALIDAD MAR DEL PLATA</t>
  </si>
  <si>
    <t>ABRAZADERAS RAPIDAS 8"</t>
  </si>
  <si>
    <t>10 ABRAZADERAS RAPIDAS DE 8"</t>
  </si>
  <si>
    <t>ABSA -LINCOLN</t>
  </si>
  <si>
    <t>CAMBIO DE SELLOS DE BOMBA DE AGUA Y REPUESTOS EN GENERAL</t>
  </si>
  <si>
    <t>DOMINIO / CC</t>
  </si>
  <si>
    <t>Nº</t>
  </si>
  <si>
    <t>FECHA COTIZACION</t>
  </si>
  <si>
    <t>FECHA DE OC</t>
  </si>
  <si>
    <t>FECHA FACTURA</t>
  </si>
  <si>
    <t>FECHA COBRO</t>
  </si>
  <si>
    <t>FECHA DE ENTREGA</t>
  </si>
  <si>
    <t>COSTO</t>
  </si>
  <si>
    <t>BENEFICIO ANTES IMP (%)</t>
  </si>
  <si>
    <t>BENEFICIO DESPUES IMP ($)</t>
  </si>
  <si>
    <t>A COBRAR STD</t>
  </si>
  <si>
    <t>A COBRAR REAL</t>
  </si>
  <si>
    <t>HS COTIZADAS</t>
  </si>
  <si>
    <t>HS UTILIZADAS</t>
  </si>
  <si>
    <t>POLIZA</t>
  </si>
  <si>
    <t>ESTADO DE POLIZA</t>
  </si>
  <si>
    <t>OC Nº</t>
  </si>
  <si>
    <t>FC Nº</t>
  </si>
  <si>
    <t>FECHA FINALIZACION</t>
  </si>
  <si>
    <t>Nº DE REMITO</t>
  </si>
  <si>
    <t>PAGADO</t>
  </si>
  <si>
    <t>SI</t>
  </si>
  <si>
    <t>FINALIZADA 23/07/25</t>
  </si>
  <si>
    <t>FACA0000300000037</t>
  </si>
  <si>
    <t>finalizado</t>
  </si>
  <si>
    <t>en reparacion</t>
  </si>
  <si>
    <t>DAT-754</t>
  </si>
  <si>
    <t>NO</t>
  </si>
  <si>
    <t>FACB0000200000325</t>
  </si>
  <si>
    <t>Aguardando</t>
  </si>
  <si>
    <t>FACA0000300000036</t>
  </si>
  <si>
    <t xml:space="preserve">UNA TOBERA DE ALUMINIO DE 1" </t>
  </si>
  <si>
    <t>FACA0000200001362</t>
  </si>
  <si>
    <t>DSG-000</t>
  </si>
  <si>
    <t>TANQUE DE AGUA LADO CHOFER JET-VAC 4075 (50% anticipo - 50% contra entrega)</t>
  </si>
  <si>
    <t>FACA0000200001367</t>
  </si>
  <si>
    <t>12/02/25 - 21/04/25</t>
  </si>
  <si>
    <t>FABRICACION DE TAPA TRASERA DE DESPERDICIO DE TANQUE - JET-VAC 4075</t>
  </si>
  <si>
    <t>FINALIZADA</t>
  </si>
  <si>
    <t>FACA0000300000041</t>
  </si>
  <si>
    <t>7/07/25 50%</t>
  </si>
  <si>
    <t>MANGUERA DE 3/4</t>
  </si>
  <si>
    <t>FACB0000200000324</t>
  </si>
  <si>
    <t>KRD-066</t>
  </si>
  <si>
    <t>ARREGLOS EN GENERAL AQUATECH</t>
  </si>
  <si>
    <t>FACA0000200001397</t>
  </si>
  <si>
    <t>FACA0000200001376</t>
  </si>
  <si>
    <t>NOVEDADES REPARACION</t>
  </si>
  <si>
    <t>FACA0000300000042</t>
  </si>
  <si>
    <t>BURLETE PLUMA A TANQUE</t>
  </si>
  <si>
    <t>FACA0000200001377</t>
  </si>
  <si>
    <t>JZH-095</t>
  </si>
  <si>
    <t>TRASLADO DE EQUIPO A PLANTA OCME</t>
  </si>
  <si>
    <t>FACA0000200001378</t>
  </si>
  <si>
    <t>REMPLAZO DE BLOWER</t>
  </si>
  <si>
    <t>FACA0000200001396</t>
  </si>
  <si>
    <t>AB-949-NT</t>
  </si>
  <si>
    <t>5/06/25 -</t>
  </si>
  <si>
    <t>REPARACION EN GENERAL JET-VAC 4500-D</t>
  </si>
  <si>
    <t>FACB0000200000326 - FACB0000200000335</t>
  </si>
  <si>
    <t>29/08/25 - 25/09/25</t>
  </si>
  <si>
    <t>ADAPTACION CAJA DE TRANSFERENCIA</t>
  </si>
  <si>
    <t>FINALIZADA 5/12/25</t>
  </si>
  <si>
    <t>FACA0000200001383</t>
  </si>
  <si>
    <t>HEZ-261</t>
  </si>
  <si>
    <t>19/05/25 -</t>
  </si>
  <si>
    <t>ADAPTACION BOMBA DE AGUA A EQUIPO HIDRO SCORZA</t>
  </si>
  <si>
    <t>VIGENTE</t>
  </si>
  <si>
    <t>FACA0000300000040</t>
  </si>
  <si>
    <t>SERVICIO DE ARENADO MALDONADO</t>
  </si>
  <si>
    <t>no enviaron</t>
  </si>
  <si>
    <t xml:space="preserve">FACA0000200001388 </t>
  </si>
  <si>
    <t>NOVEDADES DE REPARACION (problema con el pago, se re FC)</t>
  </si>
  <si>
    <t>FACA0000200001399</t>
  </si>
  <si>
    <t>NOVEDADES TAPA DE TANQUE, ITEMS ITERNOS</t>
  </si>
  <si>
    <t>FACA0000200001395</t>
  </si>
  <si>
    <t>AGREGADOS</t>
  </si>
  <si>
    <t>FACB0000200000332</t>
  </si>
  <si>
    <t>MAN</t>
  </si>
  <si>
    <t>MANGUERA DESOBSTRUCTORA DE 1" MARCA ZEC 152 MTS</t>
  </si>
  <si>
    <t>FACB0000200000327</t>
  </si>
  <si>
    <t>AGEGADOS Y NOVEDADES SUJETA A COTIZACION Nº290</t>
  </si>
  <si>
    <t>FACA0000200001430</t>
  </si>
  <si>
    <t xml:space="preserve">CABLE ACELERADOR BOMBA DE AGUA </t>
  </si>
  <si>
    <t>FACA0000200001400</t>
  </si>
  <si>
    <t>TOBERAS VARIAS EN 1"</t>
  </si>
  <si>
    <t>FACA0000200001398</t>
  </si>
  <si>
    <t>REPUESTOS KIT BOMBA KF36</t>
  </si>
  <si>
    <t>FACB0000200000329</t>
  </si>
  <si>
    <t>LWV-091</t>
  </si>
  <si>
    <t>TOBERAS DE 1" VARIAS</t>
  </si>
  <si>
    <t>FACB0000200000330</t>
  </si>
  <si>
    <t>FACA0000200001420</t>
  </si>
  <si>
    <t>FACB0000200000334</t>
  </si>
  <si>
    <t>TOBERA SAPO GRANDE 1" , OVOIDAL DE 1"</t>
  </si>
  <si>
    <t>00098-0000002987</t>
  </si>
  <si>
    <t>FACA0000200001406</t>
  </si>
  <si>
    <t>TOBERA MOURA 12X180</t>
  </si>
  <si>
    <t>FACA0000200001421</t>
  </si>
  <si>
    <t>ESPERANDO OC</t>
  </si>
  <si>
    <t>DIAGNOSTICO, DESARME Y CAMBIO DE INYECTOR Nº2</t>
  </si>
  <si>
    <t>BURLETE DE PLUMA JET-VAC 4075 ARMADO</t>
  </si>
  <si>
    <t>No enviaron</t>
  </si>
  <si>
    <t>FACA0000200001429</t>
  </si>
  <si>
    <t>MANGUERA DESOBSTRUCTORA DE 3/4" PREDATOR PARKER 150 MTS</t>
  </si>
  <si>
    <t>FACA0000200001437</t>
  </si>
  <si>
    <t>FECHA INICIO</t>
  </si>
  <si>
    <t>A COBRAR</t>
  </si>
  <si>
    <t>GANANCIA</t>
  </si>
  <si>
    <t>STOCK</t>
  </si>
  <si>
    <t>ARREGLO EN GENERAL MAS AGREGADOS</t>
  </si>
  <si>
    <t>SIN ROPONER</t>
  </si>
  <si>
    <t>CAMBIO DE BLOWER PARA AA-698-SW, NO SE PUEDE REPARAR  Y SE AVANZA POR UNO NUEVO</t>
  </si>
  <si>
    <t>ENGRANAJES</t>
  </si>
  <si>
    <t>BURLETE DE SELLO DE TANQUE 4075</t>
  </si>
  <si>
    <t xml:space="preserve">REMOLQUES DE CAMIONES PARA REPARACION EN TALLER </t>
  </si>
  <si>
    <t xml:space="preserve">2 TOBERAS DE 3/4 GRANADA Y 1 OVOIDAL DE 3/4 </t>
  </si>
  <si>
    <t>REPARACION EQUIPO VACTOR 2100 BOMBA RODER</t>
  </si>
  <si>
    <t>TOBERAS Y ABRAZADERAS</t>
  </si>
  <si>
    <t xml:space="preserve">CAMBIO DE SELLOS Y FABRICACION DE VARILLA ($812.776) </t>
  </si>
  <si>
    <t>SIN REPONER</t>
  </si>
  <si>
    <t xml:space="preserve">12/02/25 - </t>
  </si>
  <si>
    <t>$30.213.890</t>
  </si>
  <si>
    <t>$96.766.486</t>
  </si>
  <si>
    <t>$66.552.596</t>
  </si>
  <si>
    <t>MUNICIPALIDAD DE TRES ARROYOS</t>
  </si>
  <si>
    <t>DESCRIPCION INICIAL</t>
  </si>
  <si>
    <t>DESCRIPCION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</si>
</sst>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&quot;$&quot;#,##0.00"/>
    <numFmt numFmtId="166" formatCode="&quot;$&quot;#,##0"/>
    <numFmt numFmtId="167" formatCode="[$USD]#,##0.00"/>
    <numFmt numFmtId="168" formatCode="d/m/yyyy"/>
  </numFmts>
  <fonts count="18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5"/>
      <color rgb="FF000000"/>
      <name val="Calibri"/>
      <family val="2"/>
    </font>
    <font>
      <b/>
      <sz val="15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3"/>
      <color theme="1"/>
      <name val="Arial"/>
      <family val="2"/>
      <scheme val="minor"/>
    </font>
    <font>
      <b/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165" fontId="5" fillId="0" borderId="0" xfId="0" applyNumberFormat="1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6" fillId="0" borderId="0" xfId="0" applyFont="1" applyAlignment="1">
      <alignment horizontal="left"/>
    </xf>
    <xf numFmtId="0" fontId="8" fillId="0" borderId="1" xfId="0" applyFont="1" applyBorder="1"/>
    <xf numFmtId="167" fontId="3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vertical="center" wrapText="1"/>
    </xf>
    <xf numFmtId="165" fontId="11" fillId="5" borderId="1" xfId="0" applyNumberFormat="1" applyFont="1" applyFill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" fontId="11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/>
    </xf>
    <xf numFmtId="0" fontId="7" fillId="3" borderId="0" xfId="0" applyFont="1" applyFill="1"/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64" fontId="1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65" fontId="1" fillId="7" borderId="1" xfId="0" applyNumberFormat="1" applyFont="1" applyFill="1" applyBorder="1" applyAlignment="1">
      <alignment vertical="center" wrapText="1"/>
    </xf>
    <xf numFmtId="165" fontId="11" fillId="7" borderId="1" xfId="0" applyNumberFormat="1" applyFont="1" applyFill="1" applyBorder="1" applyAlignment="1">
      <alignment horizontal="left" vertical="center"/>
    </xf>
    <xf numFmtId="4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/>
    </xf>
    <xf numFmtId="14" fontId="11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165" fontId="14" fillId="5" borderId="1" xfId="0" applyNumberFormat="1" applyFont="1" applyFill="1" applyBorder="1" applyAlignment="1">
      <alignment vertical="center" wrapText="1"/>
    </xf>
    <xf numFmtId="165" fontId="12" fillId="5" borderId="1" xfId="0" applyNumberFormat="1" applyFont="1" applyFill="1" applyBorder="1" applyAlignment="1">
      <alignment horizontal="left" vertical="center"/>
    </xf>
    <xf numFmtId="165" fontId="14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/>
    </xf>
    <xf numFmtId="165" fontId="14" fillId="5" borderId="1" xfId="0" applyNumberFormat="1" applyFont="1" applyFill="1" applyBorder="1" applyAlignment="1">
      <alignment wrapText="1"/>
    </xf>
    <xf numFmtId="165" fontId="12" fillId="5" borderId="1" xfId="0" applyNumberFormat="1" applyFont="1" applyFill="1" applyBorder="1" applyAlignment="1">
      <alignment horizontal="left"/>
    </xf>
    <xf numFmtId="14" fontId="12" fillId="5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164" fontId="12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vertical="center"/>
    </xf>
    <xf numFmtId="165" fontId="14" fillId="8" borderId="1" xfId="0" applyNumberFormat="1" applyFont="1" applyFill="1" applyBorder="1" applyAlignment="1">
      <alignment wrapText="1"/>
    </xf>
    <xf numFmtId="165" fontId="12" fillId="8" borderId="1" xfId="0" applyNumberFormat="1" applyFont="1" applyFill="1" applyBorder="1" applyAlignment="1">
      <alignment horizontal="left"/>
    </xf>
    <xf numFmtId="4" fontId="1" fillId="8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left" vertical="center"/>
    </xf>
    <xf numFmtId="165" fontId="14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left"/>
    </xf>
    <xf numFmtId="164" fontId="12" fillId="5" borderId="1" xfId="0" applyNumberFormat="1" applyFont="1" applyFill="1" applyBorder="1" applyAlignment="1">
      <alignment horizontal="center" wrapText="1"/>
    </xf>
    <xf numFmtId="0" fontId="14" fillId="5" borderId="1" xfId="0" applyFont="1" applyFill="1" applyBorder="1" applyAlignment="1">
      <alignment wrapText="1"/>
    </xf>
    <xf numFmtId="0" fontId="12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14" fontId="12" fillId="7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left" vertical="center"/>
    </xf>
    <xf numFmtId="165" fontId="14" fillId="7" borderId="1" xfId="0" applyNumberFormat="1" applyFont="1" applyFill="1" applyBorder="1" applyAlignment="1">
      <alignment wrapText="1"/>
    </xf>
    <xf numFmtId="165" fontId="12" fillId="7" borderId="1" xfId="0" applyNumberFormat="1" applyFont="1" applyFill="1" applyBorder="1" applyAlignment="1">
      <alignment horizontal="left"/>
    </xf>
    <xf numFmtId="165" fontId="14" fillId="7" borderId="1" xfId="0" applyNumberFormat="1" applyFont="1" applyFill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/>
    </xf>
    <xf numFmtId="165" fontId="14" fillId="5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wrapText="1"/>
    </xf>
    <xf numFmtId="165" fontId="15" fillId="0" borderId="1" xfId="0" applyNumberFormat="1" applyFont="1" applyBorder="1" applyAlignment="1">
      <alignment horizontal="left"/>
    </xf>
    <xf numFmtId="165" fontId="14" fillId="3" borderId="1" xfId="0" applyNumberFormat="1" applyFont="1" applyFill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168" fontId="14" fillId="3" borderId="1" xfId="0" applyNumberFormat="1" applyFont="1" applyFill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66" fontId="14" fillId="3" borderId="1" xfId="0" applyNumberFormat="1" applyFont="1" applyFill="1" applyBorder="1" applyAlignment="1">
      <alignment horizontal="left"/>
    </xf>
    <xf numFmtId="165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center"/>
    </xf>
    <xf numFmtId="165" fontId="12" fillId="3" borderId="0" xfId="0" applyNumberFormat="1" applyFont="1" applyFill="1" applyAlignment="1">
      <alignment horizontal="left"/>
    </xf>
    <xf numFmtId="14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left"/>
    </xf>
    <xf numFmtId="0" fontId="12" fillId="3" borderId="1" xfId="0" applyFont="1" applyFill="1" applyBorder="1"/>
    <xf numFmtId="14" fontId="14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wrapText="1"/>
    </xf>
    <xf numFmtId="165" fontId="5" fillId="3" borderId="0" xfId="0" applyNumberFormat="1" applyFont="1" applyFill="1" applyAlignment="1">
      <alignment horizontal="left"/>
    </xf>
    <xf numFmtId="0" fontId="12" fillId="9" borderId="1" xfId="0" applyFont="1" applyFill="1" applyBorder="1" applyAlignment="1">
      <alignment horizontal="center"/>
    </xf>
    <xf numFmtId="0" fontId="14" fillId="9" borderId="1" xfId="0" applyFont="1" applyFill="1" applyBorder="1"/>
    <xf numFmtId="0" fontId="14" fillId="9" borderId="1" xfId="0" applyFont="1" applyFill="1" applyBorder="1" applyAlignment="1">
      <alignment wrapText="1"/>
    </xf>
    <xf numFmtId="165" fontId="12" fillId="9" borderId="1" xfId="0" applyNumberFormat="1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2" fillId="9" borderId="1" xfId="0" applyFont="1" applyFill="1" applyBorder="1"/>
    <xf numFmtId="165" fontId="12" fillId="0" borderId="1" xfId="0" applyNumberFormat="1" applyFont="1" applyBorder="1" applyAlignment="1">
      <alignment horizontal="left"/>
    </xf>
    <xf numFmtId="165" fontId="14" fillId="4" borderId="1" xfId="0" applyNumberFormat="1" applyFont="1" applyFill="1" applyBorder="1" applyAlignment="1">
      <alignment horizontal="left"/>
    </xf>
    <xf numFmtId="0" fontId="12" fillId="0" borderId="1" xfId="0" applyFont="1" applyBorder="1"/>
    <xf numFmtId="0" fontId="15" fillId="0" borderId="1" xfId="0" applyFont="1" applyBorder="1"/>
    <xf numFmtId="0" fontId="16" fillId="3" borderId="0" xfId="0" applyFont="1" applyFill="1" applyAlignment="1">
      <alignment horizontal="center"/>
    </xf>
    <xf numFmtId="0" fontId="14" fillId="3" borderId="0" xfId="0" applyFont="1" applyFill="1"/>
    <xf numFmtId="0" fontId="14" fillId="3" borderId="0" xfId="0" applyFont="1" applyFill="1" applyAlignment="1">
      <alignment wrapText="1"/>
    </xf>
    <xf numFmtId="0" fontId="16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6" fillId="0" borderId="0" xfId="0" applyFont="1"/>
    <xf numFmtId="0" fontId="9" fillId="10" borderId="0" xfId="0" applyFont="1" applyFill="1" applyAlignment="1">
      <alignment horizontal="center" vertical="center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35"/>
  <sheetViews>
    <sheetView tabSelected="1" workbookViewId="0">
      <pane ySplit="1" topLeftCell="A175" activePane="bottomLeft" state="frozen"/>
      <selection pane="bottomLeft" activeCell="J1" sqref="J1:J1048576"/>
    </sheetView>
  </sheetViews>
  <sheetFormatPr baseColWidth="10" defaultColWidth="12.6640625" defaultRowHeight="15.75" customHeight="1" x14ac:dyDescent="0.15"/>
  <cols>
    <col min="1" max="1" width="7" customWidth="1"/>
    <col min="2" max="2" width="9.6640625" customWidth="1"/>
    <col min="3" max="3" width="27.83203125" customWidth="1"/>
    <col min="4" max="4" width="25.1640625" customWidth="1"/>
    <col min="5" max="5" width="50" customWidth="1"/>
    <col min="6" max="6" width="20.83203125" customWidth="1"/>
    <col min="7" max="7" width="17.6640625" customWidth="1"/>
    <col min="8" max="8" width="94.6640625" customWidth="1"/>
  </cols>
  <sheetData>
    <row r="1" spans="1:8" ht="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customHeight="1" x14ac:dyDescent="0.2">
      <c r="A2" s="2">
        <v>248</v>
      </c>
      <c r="B2" s="3"/>
      <c r="C2" s="3" t="s">
        <v>8</v>
      </c>
      <c r="D2" s="2" t="s">
        <v>9</v>
      </c>
      <c r="E2" s="2"/>
      <c r="F2" s="4" t="s">
        <v>10</v>
      </c>
      <c r="G2" s="5" t="s">
        <v>10</v>
      </c>
    </row>
    <row r="3" spans="1:8" ht="18.75" customHeight="1" x14ac:dyDescent="0.2">
      <c r="A3" s="2">
        <v>2</v>
      </c>
      <c r="B3" s="3"/>
      <c r="C3" s="3" t="s">
        <v>11</v>
      </c>
      <c r="D3" s="2" t="s">
        <v>12</v>
      </c>
      <c r="E3" s="2"/>
      <c r="F3" s="4" t="s">
        <v>10</v>
      </c>
      <c r="G3" s="5" t="s">
        <v>10</v>
      </c>
    </row>
    <row r="4" spans="1:8" ht="16" x14ac:dyDescent="0.15">
      <c r="A4" s="6">
        <v>230</v>
      </c>
      <c r="B4" s="7">
        <v>45338</v>
      </c>
      <c r="C4" s="8" t="s">
        <v>13</v>
      </c>
      <c r="D4" s="8" t="s">
        <v>14</v>
      </c>
      <c r="E4" s="9" t="s">
        <v>15</v>
      </c>
      <c r="F4" s="10" t="s">
        <v>16</v>
      </c>
      <c r="G4" s="8" t="s">
        <v>17</v>
      </c>
      <c r="H4" s="8" t="s">
        <v>18</v>
      </c>
    </row>
    <row r="5" spans="1:8" ht="16" x14ac:dyDescent="0.2">
      <c r="A5" s="2">
        <v>1</v>
      </c>
      <c r="B5" s="3"/>
      <c r="C5" s="3" t="s">
        <v>19</v>
      </c>
      <c r="D5" s="2" t="s">
        <v>20</v>
      </c>
      <c r="E5" s="11"/>
      <c r="F5" s="12" t="s">
        <v>21</v>
      </c>
      <c r="G5" s="13" t="s">
        <v>17</v>
      </c>
    </row>
    <row r="6" spans="1:8" ht="16" x14ac:dyDescent="0.15">
      <c r="A6" s="6">
        <v>238</v>
      </c>
      <c r="B6" s="7">
        <v>45373</v>
      </c>
      <c r="C6" s="8" t="s">
        <v>22</v>
      </c>
      <c r="D6" s="8" t="s">
        <v>23</v>
      </c>
      <c r="E6" s="9"/>
      <c r="F6" s="10" t="s">
        <v>24</v>
      </c>
      <c r="G6" s="8" t="s">
        <v>17</v>
      </c>
      <c r="H6" s="8" t="s">
        <v>25</v>
      </c>
    </row>
    <row r="7" spans="1:8" ht="16" x14ac:dyDescent="0.15">
      <c r="A7" s="6">
        <v>241</v>
      </c>
      <c r="B7" s="7">
        <v>45300</v>
      </c>
      <c r="C7" s="8" t="s">
        <v>22</v>
      </c>
      <c r="D7" s="8" t="s">
        <v>26</v>
      </c>
      <c r="E7" s="9"/>
      <c r="F7" s="10" t="s">
        <v>24</v>
      </c>
      <c r="G7" s="8" t="s">
        <v>17</v>
      </c>
      <c r="H7" s="8" t="s">
        <v>27</v>
      </c>
    </row>
    <row r="8" spans="1:8" ht="16" x14ac:dyDescent="0.2">
      <c r="A8" s="2">
        <v>245</v>
      </c>
      <c r="B8" s="3"/>
      <c r="C8" s="3" t="s">
        <v>28</v>
      </c>
      <c r="D8" s="2" t="s">
        <v>29</v>
      </c>
      <c r="E8" s="2"/>
      <c r="F8" s="4" t="s">
        <v>30</v>
      </c>
      <c r="G8" s="5" t="s">
        <v>31</v>
      </c>
    </row>
    <row r="9" spans="1:8" ht="16" x14ac:dyDescent="0.2">
      <c r="A9" s="2">
        <v>247</v>
      </c>
      <c r="B9" s="3"/>
      <c r="C9" s="3" t="s">
        <v>28</v>
      </c>
      <c r="D9" s="2" t="s">
        <v>32</v>
      </c>
      <c r="E9" s="2"/>
      <c r="F9" s="4" t="s">
        <v>30</v>
      </c>
      <c r="G9" s="14" t="s">
        <v>31</v>
      </c>
    </row>
    <row r="10" spans="1:8" ht="32" x14ac:dyDescent="0.15">
      <c r="A10" s="6">
        <v>242</v>
      </c>
      <c r="B10" s="8"/>
      <c r="C10" s="8" t="s">
        <v>33</v>
      </c>
      <c r="D10" s="8" t="s">
        <v>34</v>
      </c>
      <c r="E10" s="9" t="s">
        <v>35</v>
      </c>
      <c r="F10" s="10" t="s">
        <v>24</v>
      </c>
      <c r="G10" s="15" t="s">
        <v>36</v>
      </c>
      <c r="H10" s="8" t="s">
        <v>35</v>
      </c>
    </row>
    <row r="11" spans="1:8" ht="16" x14ac:dyDescent="0.2">
      <c r="A11" s="2">
        <v>246</v>
      </c>
      <c r="B11" s="3"/>
      <c r="C11" s="3" t="s">
        <v>28</v>
      </c>
      <c r="D11" s="2" t="s">
        <v>37</v>
      </c>
      <c r="E11" s="2"/>
      <c r="F11" s="4" t="s">
        <v>38</v>
      </c>
      <c r="G11" s="14" t="s">
        <v>31</v>
      </c>
    </row>
    <row r="12" spans="1:8" ht="32" x14ac:dyDescent="0.15">
      <c r="A12" s="6">
        <v>243</v>
      </c>
      <c r="B12" s="8"/>
      <c r="C12" s="8" t="s">
        <v>33</v>
      </c>
      <c r="D12" s="8" t="s">
        <v>39</v>
      </c>
      <c r="E12" s="9" t="s">
        <v>35</v>
      </c>
      <c r="F12" s="10" t="s">
        <v>24</v>
      </c>
      <c r="G12" s="15" t="s">
        <v>36</v>
      </c>
      <c r="H12" s="8" t="s">
        <v>35</v>
      </c>
    </row>
    <row r="13" spans="1:8" ht="32" x14ac:dyDescent="0.15">
      <c r="A13" s="6">
        <v>244</v>
      </c>
      <c r="B13" s="8"/>
      <c r="C13" s="8" t="s">
        <v>33</v>
      </c>
      <c r="D13" s="8" t="s">
        <v>40</v>
      </c>
      <c r="E13" s="9" t="s">
        <v>41</v>
      </c>
      <c r="F13" s="16" t="s">
        <v>42</v>
      </c>
      <c r="G13" s="15" t="s">
        <v>36</v>
      </c>
      <c r="H13" s="8" t="s">
        <v>41</v>
      </c>
    </row>
    <row r="14" spans="1:8" ht="16" x14ac:dyDescent="0.15">
      <c r="A14" s="6">
        <v>249</v>
      </c>
      <c r="B14" s="7">
        <v>45355</v>
      </c>
      <c r="C14" s="8" t="s">
        <v>43</v>
      </c>
      <c r="D14" s="8" t="s">
        <v>44</v>
      </c>
      <c r="E14" s="9" t="s">
        <v>45</v>
      </c>
      <c r="F14" s="10" t="s">
        <v>46</v>
      </c>
      <c r="G14" s="8" t="s">
        <v>17</v>
      </c>
      <c r="H14" s="8"/>
    </row>
    <row r="15" spans="1:8" ht="16" x14ac:dyDescent="0.2">
      <c r="A15" s="2">
        <v>250</v>
      </c>
      <c r="B15" s="3"/>
      <c r="C15" s="3" t="s">
        <v>47</v>
      </c>
      <c r="D15" s="2" t="s">
        <v>48</v>
      </c>
      <c r="E15" s="2"/>
      <c r="F15" s="4" t="s">
        <v>38</v>
      </c>
      <c r="G15" s="5" t="s">
        <v>31</v>
      </c>
    </row>
    <row r="16" spans="1:8" ht="32" x14ac:dyDescent="0.15">
      <c r="A16" s="6">
        <v>251</v>
      </c>
      <c r="B16" s="7">
        <v>45387</v>
      </c>
      <c r="C16" s="8" t="s">
        <v>49</v>
      </c>
      <c r="D16" s="8" t="s">
        <v>50</v>
      </c>
      <c r="E16" s="9" t="s">
        <v>51</v>
      </c>
      <c r="F16" s="16">
        <v>1400908.15</v>
      </c>
      <c r="G16" s="8" t="s">
        <v>36</v>
      </c>
      <c r="H16" s="8"/>
    </row>
    <row r="17" spans="1:8" ht="32" x14ac:dyDescent="0.15">
      <c r="A17" s="6">
        <v>252</v>
      </c>
      <c r="B17" s="8"/>
      <c r="C17" s="8" t="s">
        <v>52</v>
      </c>
      <c r="D17" s="8" t="s">
        <v>53</v>
      </c>
      <c r="E17" s="9" t="s">
        <v>54</v>
      </c>
      <c r="F17" s="16">
        <v>11637840.5</v>
      </c>
      <c r="G17" s="8" t="s">
        <v>36</v>
      </c>
      <c r="H17" s="8"/>
    </row>
    <row r="18" spans="1:8" ht="16" x14ac:dyDescent="0.15">
      <c r="A18" s="6">
        <v>253</v>
      </c>
      <c r="B18" s="7">
        <v>45483</v>
      </c>
      <c r="C18" s="8" t="s">
        <v>55</v>
      </c>
      <c r="D18" s="8" t="s">
        <v>56</v>
      </c>
      <c r="E18" s="9" t="s">
        <v>57</v>
      </c>
      <c r="F18" s="10" t="s">
        <v>58</v>
      </c>
      <c r="G18" s="8" t="s">
        <v>31</v>
      </c>
      <c r="H18" s="8"/>
    </row>
    <row r="19" spans="1:8" ht="16" x14ac:dyDescent="0.15">
      <c r="A19" s="6">
        <v>254</v>
      </c>
      <c r="B19" s="8"/>
      <c r="C19" s="8" t="s">
        <v>59</v>
      </c>
      <c r="D19" s="8" t="s">
        <v>60</v>
      </c>
      <c r="E19" s="9" t="s">
        <v>61</v>
      </c>
      <c r="F19" s="17">
        <v>366773</v>
      </c>
      <c r="G19" s="8" t="s">
        <v>36</v>
      </c>
      <c r="H19" s="8"/>
    </row>
    <row r="20" spans="1:8" ht="32" x14ac:dyDescent="0.15">
      <c r="A20" s="6">
        <v>255</v>
      </c>
      <c r="B20" s="8"/>
      <c r="C20" s="8" t="s">
        <v>33</v>
      </c>
      <c r="D20" s="8" t="s">
        <v>53</v>
      </c>
      <c r="E20" s="9" t="s">
        <v>62</v>
      </c>
      <c r="F20" s="17">
        <v>1395000</v>
      </c>
      <c r="G20" s="8" t="s">
        <v>36</v>
      </c>
      <c r="H20" s="8"/>
    </row>
    <row r="21" spans="1:8" ht="16" x14ac:dyDescent="0.15">
      <c r="A21" s="6">
        <v>256</v>
      </c>
      <c r="B21" s="7">
        <v>45426</v>
      </c>
      <c r="C21" s="8" t="s">
        <v>63</v>
      </c>
      <c r="D21" s="8" t="s">
        <v>14</v>
      </c>
      <c r="E21" s="9" t="s">
        <v>64</v>
      </c>
      <c r="F21" s="18" t="s">
        <v>65</v>
      </c>
      <c r="G21" s="8" t="s">
        <v>36</v>
      </c>
      <c r="H21" s="8"/>
    </row>
    <row r="22" spans="1:8" ht="16" x14ac:dyDescent="0.2">
      <c r="A22" s="2">
        <v>257</v>
      </c>
      <c r="B22" s="3"/>
      <c r="C22" s="3" t="s">
        <v>11</v>
      </c>
      <c r="D22" s="2" t="s">
        <v>66</v>
      </c>
      <c r="E22" s="19"/>
      <c r="F22" s="20">
        <v>372000</v>
      </c>
      <c r="G22" s="5" t="s">
        <v>36</v>
      </c>
    </row>
    <row r="23" spans="1:8" ht="16" x14ac:dyDescent="0.15">
      <c r="A23" s="6">
        <v>258</v>
      </c>
      <c r="B23" s="8"/>
      <c r="C23" s="8" t="s">
        <v>67</v>
      </c>
      <c r="D23" s="8" t="s">
        <v>68</v>
      </c>
      <c r="E23" s="9" t="s">
        <v>69</v>
      </c>
      <c r="F23" s="21">
        <v>20734574</v>
      </c>
      <c r="G23" s="8" t="s">
        <v>17</v>
      </c>
      <c r="H23" s="8"/>
    </row>
    <row r="24" spans="1:8" ht="16" x14ac:dyDescent="0.2">
      <c r="A24" s="2">
        <v>259</v>
      </c>
      <c r="B24" s="3"/>
      <c r="C24" s="3" t="s">
        <v>70</v>
      </c>
      <c r="D24" s="2" t="s">
        <v>24</v>
      </c>
      <c r="E24" s="2"/>
      <c r="F24" s="4" t="s">
        <v>24</v>
      </c>
      <c r="G24" s="5" t="s">
        <v>31</v>
      </c>
    </row>
    <row r="25" spans="1:8" ht="16" x14ac:dyDescent="0.2">
      <c r="A25" s="2">
        <v>260</v>
      </c>
      <c r="B25" s="3"/>
      <c r="C25" s="3" t="s">
        <v>11</v>
      </c>
      <c r="D25" s="2" t="s">
        <v>71</v>
      </c>
      <c r="E25" s="2"/>
      <c r="F25" s="4" t="s">
        <v>24</v>
      </c>
      <c r="G25" s="5" t="s">
        <v>36</v>
      </c>
    </row>
    <row r="26" spans="1:8" ht="16" x14ac:dyDescent="0.15">
      <c r="A26" s="6">
        <v>261</v>
      </c>
      <c r="B26" s="8"/>
      <c r="C26" s="8" t="s">
        <v>33</v>
      </c>
      <c r="D26" s="8" t="s">
        <v>14</v>
      </c>
      <c r="E26" s="9" t="s">
        <v>72</v>
      </c>
      <c r="F26" s="10" t="s">
        <v>73</v>
      </c>
      <c r="G26" s="8" t="s">
        <v>31</v>
      </c>
      <c r="H26" s="8"/>
    </row>
    <row r="27" spans="1:8" ht="16" x14ac:dyDescent="0.15">
      <c r="A27" s="6">
        <v>262</v>
      </c>
      <c r="B27" s="8"/>
      <c r="C27" s="8" t="s">
        <v>74</v>
      </c>
      <c r="D27" s="8" t="s">
        <v>24</v>
      </c>
      <c r="E27" s="9"/>
      <c r="F27" s="10" t="s">
        <v>75</v>
      </c>
      <c r="G27" s="8" t="s">
        <v>36</v>
      </c>
      <c r="H27" s="8"/>
    </row>
    <row r="28" spans="1:8" ht="16" x14ac:dyDescent="0.15">
      <c r="A28" s="6">
        <v>263</v>
      </c>
      <c r="B28" s="7">
        <v>45441</v>
      </c>
      <c r="C28" s="8" t="s">
        <v>76</v>
      </c>
      <c r="D28" s="8" t="s">
        <v>14</v>
      </c>
      <c r="E28" s="9" t="s">
        <v>77</v>
      </c>
      <c r="F28" s="10" t="s">
        <v>78</v>
      </c>
      <c r="G28" s="8" t="s">
        <v>17</v>
      </c>
      <c r="H28" s="8"/>
    </row>
    <row r="29" spans="1:8" ht="16" x14ac:dyDescent="0.2">
      <c r="A29" s="2">
        <v>264</v>
      </c>
      <c r="B29" s="3"/>
      <c r="C29" s="3" t="s">
        <v>11</v>
      </c>
      <c r="D29" s="2" t="s">
        <v>79</v>
      </c>
      <c r="E29" s="2"/>
      <c r="F29" s="4" t="s">
        <v>80</v>
      </c>
      <c r="G29" s="5"/>
    </row>
    <row r="30" spans="1:8" ht="16" x14ac:dyDescent="0.15">
      <c r="A30" s="6">
        <v>265</v>
      </c>
      <c r="B30" s="7">
        <v>45439</v>
      </c>
      <c r="C30" s="8" t="s">
        <v>81</v>
      </c>
      <c r="D30" s="8" t="s">
        <v>60</v>
      </c>
      <c r="E30" s="9" t="s">
        <v>82</v>
      </c>
      <c r="F30" s="10" t="s">
        <v>83</v>
      </c>
      <c r="G30" s="8" t="s">
        <v>31</v>
      </c>
      <c r="H30" s="8"/>
    </row>
    <row r="31" spans="1:8" ht="16" x14ac:dyDescent="0.15">
      <c r="A31" s="6">
        <v>266</v>
      </c>
      <c r="B31" s="8"/>
      <c r="C31" s="8" t="s">
        <v>33</v>
      </c>
      <c r="D31" s="8" t="s">
        <v>84</v>
      </c>
      <c r="E31" s="9" t="s">
        <v>85</v>
      </c>
      <c r="F31" s="10" t="s">
        <v>86</v>
      </c>
      <c r="G31" s="8" t="s">
        <v>17</v>
      </c>
      <c r="H31" s="8" t="s">
        <v>87</v>
      </c>
    </row>
    <row r="32" spans="1:8" ht="16" x14ac:dyDescent="0.15">
      <c r="A32" s="6">
        <v>267</v>
      </c>
      <c r="B32" s="7">
        <v>45453</v>
      </c>
      <c r="C32" s="8" t="s">
        <v>88</v>
      </c>
      <c r="D32" s="8" t="s">
        <v>89</v>
      </c>
      <c r="E32" s="9" t="s">
        <v>90</v>
      </c>
      <c r="F32" s="10" t="s">
        <v>91</v>
      </c>
      <c r="G32" s="8" t="s">
        <v>31</v>
      </c>
      <c r="H32" s="8"/>
    </row>
    <row r="33" spans="1:8" ht="16" x14ac:dyDescent="0.15">
      <c r="A33" s="6">
        <v>268</v>
      </c>
      <c r="B33" s="7">
        <v>45453</v>
      </c>
      <c r="C33" s="8" t="s">
        <v>88</v>
      </c>
      <c r="D33" s="8" t="s">
        <v>89</v>
      </c>
      <c r="E33" s="9" t="s">
        <v>92</v>
      </c>
      <c r="F33" s="10" t="s">
        <v>93</v>
      </c>
      <c r="G33" s="8" t="s">
        <v>31</v>
      </c>
      <c r="H33" s="8"/>
    </row>
    <row r="34" spans="1:8" ht="16" x14ac:dyDescent="0.15">
      <c r="A34" s="6">
        <v>269</v>
      </c>
      <c r="B34" s="7">
        <v>45453</v>
      </c>
      <c r="C34" s="8" t="s">
        <v>88</v>
      </c>
      <c r="D34" s="8" t="s">
        <v>89</v>
      </c>
      <c r="E34" s="9" t="s">
        <v>94</v>
      </c>
      <c r="F34" s="10" t="s">
        <v>95</v>
      </c>
      <c r="G34" s="8" t="s">
        <v>31</v>
      </c>
      <c r="H34" s="8"/>
    </row>
    <row r="35" spans="1:8" ht="16" x14ac:dyDescent="0.15">
      <c r="A35" s="6">
        <v>270</v>
      </c>
      <c r="B35" s="8"/>
      <c r="C35" s="8" t="s">
        <v>96</v>
      </c>
      <c r="D35" s="8" t="s">
        <v>14</v>
      </c>
      <c r="E35" s="9" t="s">
        <v>97</v>
      </c>
      <c r="F35" s="10"/>
      <c r="G35" s="8" t="s">
        <v>36</v>
      </c>
      <c r="H35" s="8"/>
    </row>
    <row r="36" spans="1:8" ht="16" x14ac:dyDescent="0.15">
      <c r="A36" s="6">
        <v>271</v>
      </c>
      <c r="B36" s="8"/>
      <c r="C36" s="8" t="s">
        <v>22</v>
      </c>
      <c r="D36" s="8" t="s">
        <v>26</v>
      </c>
      <c r="E36" s="9" t="s">
        <v>98</v>
      </c>
      <c r="F36" s="22" t="s">
        <v>99</v>
      </c>
      <c r="G36" s="8" t="s">
        <v>17</v>
      </c>
      <c r="H36" s="8"/>
    </row>
    <row r="37" spans="1:8" ht="16" x14ac:dyDescent="0.2">
      <c r="A37" s="2">
        <v>272</v>
      </c>
      <c r="B37" s="3"/>
      <c r="C37" s="3" t="s">
        <v>11</v>
      </c>
      <c r="D37" s="2" t="s">
        <v>100</v>
      </c>
      <c r="E37" s="2"/>
      <c r="F37" s="4" t="s">
        <v>101</v>
      </c>
      <c r="G37" s="5" t="s">
        <v>31</v>
      </c>
    </row>
    <row r="38" spans="1:8" ht="32" x14ac:dyDescent="0.15">
      <c r="A38" s="6">
        <v>273</v>
      </c>
      <c r="B38" s="8"/>
      <c r="C38" s="8" t="s">
        <v>102</v>
      </c>
      <c r="D38" s="8" t="s">
        <v>103</v>
      </c>
      <c r="E38" s="9" t="s">
        <v>104</v>
      </c>
      <c r="F38" s="16">
        <v>14031084</v>
      </c>
      <c r="G38" s="8" t="s">
        <v>36</v>
      </c>
      <c r="H38" s="8"/>
    </row>
    <row r="39" spans="1:8" ht="16" x14ac:dyDescent="0.15">
      <c r="A39" s="6">
        <v>274</v>
      </c>
      <c r="B39" s="8"/>
      <c r="C39" s="8" t="s">
        <v>105</v>
      </c>
      <c r="D39" s="8" t="s">
        <v>53</v>
      </c>
      <c r="E39" s="9" t="s">
        <v>106</v>
      </c>
      <c r="F39" s="16">
        <v>471429</v>
      </c>
      <c r="G39" s="8" t="s">
        <v>17</v>
      </c>
      <c r="H39" s="8"/>
    </row>
    <row r="40" spans="1:8" ht="16" x14ac:dyDescent="0.2">
      <c r="A40" s="2">
        <v>275</v>
      </c>
      <c r="B40" s="3"/>
      <c r="C40" s="3" t="s">
        <v>107</v>
      </c>
      <c r="D40" s="2" t="s">
        <v>108</v>
      </c>
      <c r="E40" s="19"/>
      <c r="F40" s="20">
        <v>1585644</v>
      </c>
      <c r="G40" s="5" t="s">
        <v>31</v>
      </c>
    </row>
    <row r="41" spans="1:8" ht="16" x14ac:dyDescent="0.15">
      <c r="A41" s="6">
        <v>276</v>
      </c>
      <c r="B41" s="8"/>
      <c r="C41" s="8" t="s">
        <v>109</v>
      </c>
      <c r="D41" s="8" t="s">
        <v>53</v>
      </c>
      <c r="E41" s="23" t="s">
        <v>110</v>
      </c>
      <c r="F41" s="24">
        <v>34449607</v>
      </c>
      <c r="G41" s="8" t="s">
        <v>31</v>
      </c>
      <c r="H41" s="25" t="s">
        <v>111</v>
      </c>
    </row>
    <row r="42" spans="1:8" ht="16" x14ac:dyDescent="0.15">
      <c r="A42" s="6">
        <v>277</v>
      </c>
      <c r="B42" s="8"/>
      <c r="C42" s="8" t="s">
        <v>74</v>
      </c>
      <c r="D42" s="8" t="s">
        <v>50</v>
      </c>
      <c r="E42" s="9" t="s">
        <v>112</v>
      </c>
      <c r="F42" s="10" t="s">
        <v>113</v>
      </c>
      <c r="G42" s="8" t="s">
        <v>36</v>
      </c>
      <c r="H42" s="8"/>
    </row>
    <row r="43" spans="1:8" ht="16" x14ac:dyDescent="0.15">
      <c r="A43" s="6">
        <v>278</v>
      </c>
      <c r="B43" s="8"/>
      <c r="C43" s="8" t="s">
        <v>81</v>
      </c>
      <c r="D43" s="8" t="s">
        <v>114</v>
      </c>
      <c r="E43" s="9"/>
      <c r="F43" s="10"/>
      <c r="G43" s="8" t="s">
        <v>31</v>
      </c>
      <c r="H43" s="8"/>
    </row>
    <row r="44" spans="1:8" ht="16" x14ac:dyDescent="0.15">
      <c r="A44" s="6">
        <v>279</v>
      </c>
      <c r="B44" s="8"/>
      <c r="C44" s="8" t="s">
        <v>59</v>
      </c>
      <c r="D44" s="8" t="s">
        <v>50</v>
      </c>
      <c r="E44" s="9" t="s">
        <v>115</v>
      </c>
      <c r="F44" s="10" t="s">
        <v>116</v>
      </c>
      <c r="G44" s="8" t="s">
        <v>17</v>
      </c>
      <c r="H44" s="8"/>
    </row>
    <row r="45" spans="1:8" ht="16" x14ac:dyDescent="0.15">
      <c r="A45" s="6">
        <v>280</v>
      </c>
      <c r="B45" s="8"/>
      <c r="C45" s="8" t="s">
        <v>102</v>
      </c>
      <c r="D45" s="8" t="s">
        <v>117</v>
      </c>
      <c r="E45" s="9" t="s">
        <v>118</v>
      </c>
      <c r="F45" s="10" t="s">
        <v>119</v>
      </c>
      <c r="G45" s="8" t="s">
        <v>17</v>
      </c>
      <c r="H45" s="8"/>
    </row>
    <row r="46" spans="1:8" ht="16" x14ac:dyDescent="0.15">
      <c r="A46" s="6">
        <v>281</v>
      </c>
      <c r="B46" s="8"/>
      <c r="C46" s="8" t="s">
        <v>81</v>
      </c>
      <c r="D46" s="8" t="s">
        <v>53</v>
      </c>
      <c r="E46" s="27" t="s">
        <v>120</v>
      </c>
      <c r="F46" s="16">
        <v>665400</v>
      </c>
      <c r="G46" s="8" t="s">
        <v>17</v>
      </c>
      <c r="H46" s="28"/>
    </row>
    <row r="47" spans="1:8" ht="16" x14ac:dyDescent="0.15">
      <c r="A47" s="6">
        <v>282</v>
      </c>
      <c r="B47" s="8"/>
      <c r="C47" s="8" t="s">
        <v>121</v>
      </c>
      <c r="D47" s="8" t="s">
        <v>122</v>
      </c>
      <c r="E47" s="9" t="s">
        <v>123</v>
      </c>
      <c r="F47" s="16">
        <v>2160404</v>
      </c>
      <c r="G47" s="8" t="s">
        <v>36</v>
      </c>
      <c r="H47" s="8"/>
    </row>
    <row r="48" spans="1:8" ht="16" x14ac:dyDescent="0.15">
      <c r="A48" s="6">
        <v>283</v>
      </c>
      <c r="B48" s="8"/>
      <c r="C48" s="8" t="s">
        <v>124</v>
      </c>
      <c r="D48" s="8" t="s">
        <v>89</v>
      </c>
      <c r="E48" s="9" t="s">
        <v>89</v>
      </c>
      <c r="F48" s="29" t="s">
        <v>125</v>
      </c>
      <c r="G48" s="8" t="s">
        <v>31</v>
      </c>
      <c r="H48" s="8" t="s">
        <v>126</v>
      </c>
    </row>
    <row r="49" spans="1:8" ht="16" x14ac:dyDescent="0.15">
      <c r="A49" s="6">
        <v>284</v>
      </c>
      <c r="B49" s="8"/>
      <c r="C49" s="8" t="s">
        <v>124</v>
      </c>
      <c r="D49" s="8" t="s">
        <v>89</v>
      </c>
      <c r="E49" s="9" t="s">
        <v>89</v>
      </c>
      <c r="F49" s="29" t="s">
        <v>127</v>
      </c>
      <c r="G49" s="8" t="s">
        <v>31</v>
      </c>
      <c r="H49" s="8" t="s">
        <v>126</v>
      </c>
    </row>
    <row r="50" spans="1:8" ht="16" x14ac:dyDescent="0.15">
      <c r="A50" s="6">
        <v>285</v>
      </c>
      <c r="B50" s="8"/>
      <c r="C50" s="8" t="s">
        <v>124</v>
      </c>
      <c r="D50" s="8" t="s">
        <v>89</v>
      </c>
      <c r="E50" s="9" t="s">
        <v>89</v>
      </c>
      <c r="F50" s="29" t="s">
        <v>128</v>
      </c>
      <c r="G50" s="8" t="s">
        <v>31</v>
      </c>
      <c r="H50" s="8" t="s">
        <v>126</v>
      </c>
    </row>
    <row r="51" spans="1:8" ht="32" x14ac:dyDescent="0.15">
      <c r="A51" s="6">
        <v>286</v>
      </c>
      <c r="B51" s="8"/>
      <c r="C51" s="8" t="s">
        <v>81</v>
      </c>
      <c r="D51" s="8" t="s">
        <v>129</v>
      </c>
      <c r="E51" s="9" t="s">
        <v>130</v>
      </c>
      <c r="F51" s="16">
        <v>568200</v>
      </c>
      <c r="G51" s="8" t="s">
        <v>17</v>
      </c>
      <c r="H51" s="8"/>
    </row>
    <row r="52" spans="1:8" ht="32" x14ac:dyDescent="0.15">
      <c r="A52" s="6">
        <v>287</v>
      </c>
      <c r="B52" s="8"/>
      <c r="C52" s="8" t="s">
        <v>131</v>
      </c>
      <c r="D52" s="8" t="s">
        <v>129</v>
      </c>
      <c r="E52" s="9" t="s">
        <v>132</v>
      </c>
      <c r="F52" s="16">
        <v>1642817</v>
      </c>
      <c r="G52" s="8" t="s">
        <v>17</v>
      </c>
      <c r="H52" s="8" t="s">
        <v>133</v>
      </c>
    </row>
    <row r="53" spans="1:8" ht="16" x14ac:dyDescent="0.15">
      <c r="A53" s="6">
        <v>288</v>
      </c>
      <c r="B53" s="8"/>
      <c r="C53" s="8" t="s">
        <v>59</v>
      </c>
      <c r="D53" s="8" t="s">
        <v>50</v>
      </c>
      <c r="E53" s="9" t="s">
        <v>134</v>
      </c>
      <c r="F53" s="16" t="s">
        <v>135</v>
      </c>
      <c r="G53" s="8" t="s">
        <v>17</v>
      </c>
      <c r="H53" s="8" t="s">
        <v>133</v>
      </c>
    </row>
    <row r="54" spans="1:8" ht="16" x14ac:dyDescent="0.15">
      <c r="A54" s="6">
        <v>289</v>
      </c>
      <c r="B54" s="8"/>
      <c r="C54" s="8" t="s">
        <v>76</v>
      </c>
      <c r="D54" s="8" t="s">
        <v>53</v>
      </c>
      <c r="E54" s="9" t="s">
        <v>136</v>
      </c>
      <c r="F54" s="16" t="s">
        <v>137</v>
      </c>
      <c r="G54" s="8" t="s">
        <v>31</v>
      </c>
      <c r="H54" s="8"/>
    </row>
    <row r="55" spans="1:8" ht="16" x14ac:dyDescent="0.15">
      <c r="A55" s="6">
        <v>290</v>
      </c>
      <c r="B55" s="7">
        <v>45525</v>
      </c>
      <c r="C55" s="8" t="s">
        <v>138</v>
      </c>
      <c r="D55" s="8" t="s">
        <v>139</v>
      </c>
      <c r="E55" s="30" t="s">
        <v>140</v>
      </c>
      <c r="F55" s="16">
        <v>34101996</v>
      </c>
      <c r="G55" s="8" t="s">
        <v>17</v>
      </c>
      <c r="H55" s="31" t="s">
        <v>141</v>
      </c>
    </row>
    <row r="56" spans="1:8" ht="16" x14ac:dyDescent="0.15">
      <c r="A56" s="6">
        <v>291</v>
      </c>
      <c r="B56" s="7">
        <v>45525</v>
      </c>
      <c r="C56" s="8" t="s">
        <v>131</v>
      </c>
      <c r="D56" s="8" t="s">
        <v>142</v>
      </c>
      <c r="E56" s="30" t="s">
        <v>143</v>
      </c>
      <c r="F56" s="16">
        <v>33505599</v>
      </c>
      <c r="G56" s="8" t="s">
        <v>17</v>
      </c>
      <c r="H56" s="32" t="s">
        <v>144</v>
      </c>
    </row>
    <row r="57" spans="1:8" ht="16" x14ac:dyDescent="0.15">
      <c r="A57" s="6">
        <v>292</v>
      </c>
      <c r="B57" s="7">
        <v>45526</v>
      </c>
      <c r="C57" s="8" t="s">
        <v>145</v>
      </c>
      <c r="D57" s="8" t="s">
        <v>146</v>
      </c>
      <c r="E57" s="30" t="s">
        <v>118</v>
      </c>
      <c r="F57" s="16">
        <v>8537501</v>
      </c>
      <c r="G57" s="8" t="s">
        <v>31</v>
      </c>
      <c r="H57" s="31" t="s">
        <v>147</v>
      </c>
    </row>
    <row r="58" spans="1:8" ht="16" x14ac:dyDescent="0.15">
      <c r="A58" s="6">
        <v>293</v>
      </c>
      <c r="B58" s="7">
        <v>45527</v>
      </c>
      <c r="C58" s="8" t="s">
        <v>131</v>
      </c>
      <c r="D58" s="8" t="s">
        <v>53</v>
      </c>
      <c r="E58" s="30" t="s">
        <v>148</v>
      </c>
      <c r="F58" s="16">
        <v>1171799</v>
      </c>
      <c r="G58" s="8" t="s">
        <v>17</v>
      </c>
      <c r="H58" s="31" t="s">
        <v>149</v>
      </c>
    </row>
    <row r="59" spans="1:8" ht="16" x14ac:dyDescent="0.15">
      <c r="A59" s="6">
        <v>294</v>
      </c>
      <c r="B59" s="33">
        <v>45532</v>
      </c>
      <c r="C59" s="8" t="s">
        <v>105</v>
      </c>
      <c r="D59" s="8" t="s">
        <v>50</v>
      </c>
      <c r="E59" s="30" t="s">
        <v>150</v>
      </c>
      <c r="F59" s="16">
        <v>1176985</v>
      </c>
      <c r="G59" s="8" t="s">
        <v>17</v>
      </c>
      <c r="H59" s="31" t="s">
        <v>151</v>
      </c>
    </row>
    <row r="60" spans="1:8" ht="16" x14ac:dyDescent="0.15">
      <c r="A60" s="6">
        <v>295</v>
      </c>
      <c r="B60" s="7">
        <v>45545</v>
      </c>
      <c r="C60" s="8" t="s">
        <v>59</v>
      </c>
      <c r="D60" s="8" t="s">
        <v>152</v>
      </c>
      <c r="E60" s="30" t="s">
        <v>153</v>
      </c>
      <c r="F60" s="16"/>
      <c r="G60" s="8" t="s">
        <v>31</v>
      </c>
      <c r="H60" s="31" t="s">
        <v>154</v>
      </c>
    </row>
    <row r="61" spans="1:8" ht="16" x14ac:dyDescent="0.15">
      <c r="A61" s="6">
        <v>296</v>
      </c>
      <c r="B61" s="7">
        <v>45545</v>
      </c>
      <c r="C61" s="8" t="s">
        <v>155</v>
      </c>
      <c r="D61" s="8" t="s">
        <v>156</v>
      </c>
      <c r="E61" s="30" t="s">
        <v>157</v>
      </c>
      <c r="F61" s="16" t="s">
        <v>125</v>
      </c>
      <c r="G61" s="8" t="s">
        <v>31</v>
      </c>
      <c r="H61" s="31" t="s">
        <v>158</v>
      </c>
    </row>
    <row r="62" spans="1:8" ht="16" x14ac:dyDescent="0.15">
      <c r="A62" s="6">
        <v>297</v>
      </c>
      <c r="B62" s="7">
        <v>45545</v>
      </c>
      <c r="C62" s="8" t="s">
        <v>155</v>
      </c>
      <c r="D62" s="8" t="s">
        <v>156</v>
      </c>
      <c r="E62" s="30" t="s">
        <v>159</v>
      </c>
      <c r="F62" s="16" t="s">
        <v>127</v>
      </c>
      <c r="G62" s="8" t="s">
        <v>31</v>
      </c>
      <c r="H62" s="31" t="s">
        <v>158</v>
      </c>
    </row>
    <row r="63" spans="1:8" ht="16" x14ac:dyDescent="0.15">
      <c r="A63" s="6">
        <v>298</v>
      </c>
      <c r="B63" s="7">
        <v>45545</v>
      </c>
      <c r="C63" s="8" t="s">
        <v>155</v>
      </c>
      <c r="D63" s="8" t="s">
        <v>156</v>
      </c>
      <c r="E63" s="30" t="s">
        <v>160</v>
      </c>
      <c r="F63" s="16" t="s">
        <v>128</v>
      </c>
      <c r="G63" s="8" t="s">
        <v>31</v>
      </c>
      <c r="H63" s="31" t="s">
        <v>158</v>
      </c>
    </row>
    <row r="64" spans="1:8" ht="16" x14ac:dyDescent="0.15">
      <c r="A64" s="6">
        <v>299</v>
      </c>
      <c r="B64" s="7">
        <v>45552</v>
      </c>
      <c r="C64" s="34" t="s">
        <v>161</v>
      </c>
      <c r="D64" s="8" t="s">
        <v>162</v>
      </c>
      <c r="E64" s="30" t="s">
        <v>118</v>
      </c>
      <c r="F64" s="16">
        <v>8733415</v>
      </c>
      <c r="G64" s="8" t="s">
        <v>31</v>
      </c>
      <c r="H64" s="35" t="s">
        <v>15</v>
      </c>
    </row>
    <row r="65" spans="1:8" ht="16" x14ac:dyDescent="0.15">
      <c r="A65" s="6">
        <v>300</v>
      </c>
      <c r="B65" s="7">
        <v>45558</v>
      </c>
      <c r="C65" s="34" t="s">
        <v>163</v>
      </c>
      <c r="D65" s="8" t="s">
        <v>164</v>
      </c>
      <c r="E65" s="30" t="s">
        <v>165</v>
      </c>
      <c r="F65" s="16" t="s">
        <v>166</v>
      </c>
      <c r="G65" s="8" t="s">
        <v>31</v>
      </c>
      <c r="H65" s="35" t="s">
        <v>167</v>
      </c>
    </row>
    <row r="66" spans="1:8" ht="16" x14ac:dyDescent="0.15">
      <c r="A66" s="6">
        <v>301</v>
      </c>
      <c r="B66" s="7">
        <v>45560</v>
      </c>
      <c r="C66" s="34" t="s">
        <v>168</v>
      </c>
      <c r="D66" s="8" t="s">
        <v>53</v>
      </c>
      <c r="E66" s="30" t="s">
        <v>169</v>
      </c>
      <c r="F66" s="16">
        <v>6551015</v>
      </c>
      <c r="G66" s="8" t="s">
        <v>31</v>
      </c>
      <c r="H66" s="35" t="s">
        <v>170</v>
      </c>
    </row>
    <row r="67" spans="1:8" ht="16" x14ac:dyDescent="0.15">
      <c r="A67" s="6">
        <v>302</v>
      </c>
      <c r="B67" s="33">
        <v>45568</v>
      </c>
      <c r="C67" s="34" t="s">
        <v>155</v>
      </c>
      <c r="D67" s="8" t="s">
        <v>89</v>
      </c>
      <c r="E67" s="30" t="s">
        <v>171</v>
      </c>
      <c r="F67" s="16" t="s">
        <v>172</v>
      </c>
      <c r="G67" s="8" t="s">
        <v>31</v>
      </c>
      <c r="H67" s="35" t="s">
        <v>158</v>
      </c>
    </row>
    <row r="68" spans="1:8" ht="16" x14ac:dyDescent="0.15">
      <c r="A68" s="6">
        <v>303</v>
      </c>
      <c r="B68" s="33">
        <v>45569</v>
      </c>
      <c r="C68" s="34" t="s">
        <v>81</v>
      </c>
      <c r="D68" s="8" t="s">
        <v>129</v>
      </c>
      <c r="E68" s="30" t="s">
        <v>173</v>
      </c>
      <c r="F68" s="16">
        <v>2855352</v>
      </c>
      <c r="G68" s="8" t="s">
        <v>31</v>
      </c>
      <c r="H68" s="35" t="s">
        <v>173</v>
      </c>
    </row>
    <row r="69" spans="1:8" ht="16" x14ac:dyDescent="0.15">
      <c r="A69" s="6">
        <v>304</v>
      </c>
      <c r="B69" s="33">
        <v>45569</v>
      </c>
      <c r="C69" s="34" t="s">
        <v>81</v>
      </c>
      <c r="D69" s="8" t="s">
        <v>129</v>
      </c>
      <c r="E69" s="30" t="s">
        <v>174</v>
      </c>
      <c r="F69" s="16">
        <v>501136</v>
      </c>
      <c r="G69" s="8" t="s">
        <v>31</v>
      </c>
      <c r="H69" s="35" t="s">
        <v>175</v>
      </c>
    </row>
    <row r="70" spans="1:8" ht="16" x14ac:dyDescent="0.15">
      <c r="A70" s="6">
        <v>305</v>
      </c>
      <c r="B70" s="33">
        <v>45569</v>
      </c>
      <c r="C70" s="34" t="s">
        <v>121</v>
      </c>
      <c r="D70" s="8" t="s">
        <v>60</v>
      </c>
      <c r="E70" s="36" t="s">
        <v>118</v>
      </c>
      <c r="F70" s="16">
        <v>8100053</v>
      </c>
      <c r="G70" s="8" t="s">
        <v>31</v>
      </c>
      <c r="H70" s="35" t="s">
        <v>176</v>
      </c>
    </row>
    <row r="71" spans="1:8" ht="16" x14ac:dyDescent="0.15">
      <c r="A71" s="6">
        <v>306</v>
      </c>
      <c r="B71" s="33">
        <v>45570</v>
      </c>
      <c r="C71" s="34" t="s">
        <v>59</v>
      </c>
      <c r="D71" s="8" t="s">
        <v>177</v>
      </c>
      <c r="E71" s="36" t="s">
        <v>178</v>
      </c>
      <c r="F71" s="16" t="s">
        <v>179</v>
      </c>
      <c r="G71" s="8" t="s">
        <v>31</v>
      </c>
      <c r="H71" s="35" t="s">
        <v>158</v>
      </c>
    </row>
    <row r="72" spans="1:8" ht="16" x14ac:dyDescent="0.2">
      <c r="A72" s="2">
        <v>307</v>
      </c>
      <c r="B72" s="33">
        <v>45570</v>
      </c>
      <c r="C72" s="34" t="s">
        <v>59</v>
      </c>
      <c r="D72" s="8" t="s">
        <v>177</v>
      </c>
      <c r="E72" s="36" t="s">
        <v>180</v>
      </c>
      <c r="F72" s="16" t="s">
        <v>181</v>
      </c>
      <c r="G72" s="8" t="s">
        <v>31</v>
      </c>
      <c r="H72" s="35" t="s">
        <v>158</v>
      </c>
    </row>
    <row r="73" spans="1:8" ht="16" x14ac:dyDescent="0.2">
      <c r="A73" s="2">
        <v>308</v>
      </c>
      <c r="B73" s="33">
        <v>45570</v>
      </c>
      <c r="C73" s="34" t="s">
        <v>59</v>
      </c>
      <c r="D73" s="8" t="s">
        <v>177</v>
      </c>
      <c r="E73" s="36" t="s">
        <v>182</v>
      </c>
      <c r="F73" s="16" t="s">
        <v>183</v>
      </c>
      <c r="G73" s="8" t="s">
        <v>31</v>
      </c>
      <c r="H73" s="35" t="s">
        <v>158</v>
      </c>
    </row>
    <row r="74" spans="1:8" ht="16" x14ac:dyDescent="0.2">
      <c r="A74" s="2">
        <v>309</v>
      </c>
      <c r="B74" s="37">
        <v>45573</v>
      </c>
      <c r="C74" s="3" t="s">
        <v>74</v>
      </c>
      <c r="D74" s="5" t="s">
        <v>184</v>
      </c>
      <c r="E74" s="38" t="s">
        <v>50</v>
      </c>
      <c r="F74" s="20">
        <v>7945780</v>
      </c>
      <c r="G74" s="8" t="s">
        <v>31</v>
      </c>
      <c r="H74" s="39" t="s">
        <v>185</v>
      </c>
    </row>
    <row r="75" spans="1:8" ht="16" x14ac:dyDescent="0.2">
      <c r="A75" s="40">
        <v>310</v>
      </c>
      <c r="B75" s="41">
        <v>45582</v>
      </c>
      <c r="C75" s="42" t="s">
        <v>22</v>
      </c>
      <c r="D75" s="43" t="s">
        <v>53</v>
      </c>
      <c r="E75" s="44" t="s">
        <v>69</v>
      </c>
      <c r="F75" s="45">
        <v>22243813</v>
      </c>
      <c r="G75" s="8" t="s">
        <v>17</v>
      </c>
      <c r="H75" s="39" t="s">
        <v>186</v>
      </c>
    </row>
    <row r="76" spans="1:8" ht="16" x14ac:dyDescent="0.2">
      <c r="A76" s="2">
        <v>311</v>
      </c>
      <c r="B76" s="37">
        <v>45587</v>
      </c>
      <c r="C76" s="3" t="s">
        <v>187</v>
      </c>
      <c r="D76" s="5" t="s">
        <v>60</v>
      </c>
      <c r="E76" s="38" t="s">
        <v>188</v>
      </c>
      <c r="F76" s="20">
        <v>20872166</v>
      </c>
      <c r="G76" s="8" t="s">
        <v>31</v>
      </c>
      <c r="H76" s="39" t="s">
        <v>189</v>
      </c>
    </row>
    <row r="77" spans="1:8" ht="16" x14ac:dyDescent="0.2">
      <c r="A77" s="2">
        <v>312</v>
      </c>
      <c r="B77" s="37">
        <v>45589</v>
      </c>
      <c r="C77" s="3" t="s">
        <v>81</v>
      </c>
      <c r="D77" s="5" t="s">
        <v>129</v>
      </c>
      <c r="E77" s="38" t="s">
        <v>190</v>
      </c>
      <c r="F77" s="20">
        <v>3454975</v>
      </c>
      <c r="G77" s="8" t="s">
        <v>31</v>
      </c>
      <c r="H77" s="39" t="s">
        <v>191</v>
      </c>
    </row>
    <row r="78" spans="1:8" ht="16" x14ac:dyDescent="0.2">
      <c r="A78" s="2">
        <v>313</v>
      </c>
      <c r="B78" s="37">
        <v>45589</v>
      </c>
      <c r="C78" s="3" t="s">
        <v>192</v>
      </c>
      <c r="D78" s="5" t="s">
        <v>193</v>
      </c>
      <c r="E78" s="38" t="s">
        <v>194</v>
      </c>
      <c r="F78" s="20">
        <v>9869493</v>
      </c>
      <c r="G78" s="8" t="s">
        <v>17</v>
      </c>
      <c r="H78" s="39" t="s">
        <v>195</v>
      </c>
    </row>
    <row r="79" spans="1:8" ht="16" x14ac:dyDescent="0.2">
      <c r="A79" s="40">
        <v>314</v>
      </c>
      <c r="B79" s="41">
        <v>45596</v>
      </c>
      <c r="C79" s="42" t="s">
        <v>105</v>
      </c>
      <c r="D79" s="43" t="s">
        <v>50</v>
      </c>
      <c r="E79" s="44" t="s">
        <v>196</v>
      </c>
      <c r="F79" s="45">
        <v>3870363</v>
      </c>
      <c r="G79" s="8" t="s">
        <v>17</v>
      </c>
      <c r="H79" s="39" t="s">
        <v>197</v>
      </c>
    </row>
    <row r="80" spans="1:8" ht="16" x14ac:dyDescent="0.2">
      <c r="A80" s="46">
        <v>315</v>
      </c>
      <c r="B80" s="47">
        <v>45601</v>
      </c>
      <c r="C80" s="48" t="s">
        <v>22</v>
      </c>
      <c r="D80" s="49" t="s">
        <v>53</v>
      </c>
      <c r="E80" s="50" t="s">
        <v>198</v>
      </c>
      <c r="F80" s="51">
        <v>28553207</v>
      </c>
      <c r="G80" s="8" t="s">
        <v>17</v>
      </c>
      <c r="H80" s="39" t="s">
        <v>199</v>
      </c>
    </row>
    <row r="81" spans="1:8" ht="16" x14ac:dyDescent="0.2">
      <c r="A81" s="2">
        <v>316</v>
      </c>
      <c r="B81" s="37">
        <v>45602</v>
      </c>
      <c r="C81" s="3" t="s">
        <v>200</v>
      </c>
      <c r="D81" s="5" t="s">
        <v>129</v>
      </c>
      <c r="E81" s="38" t="s">
        <v>201</v>
      </c>
      <c r="F81" s="20">
        <v>7612098</v>
      </c>
      <c r="G81" s="8" t="s">
        <v>31</v>
      </c>
      <c r="H81" s="39" t="s">
        <v>202</v>
      </c>
    </row>
    <row r="82" spans="1:8" ht="16" x14ac:dyDescent="0.2">
      <c r="A82" s="40">
        <v>317</v>
      </c>
      <c r="B82" s="41">
        <v>45608</v>
      </c>
      <c r="C82" s="42" t="s">
        <v>203</v>
      </c>
      <c r="D82" s="43" t="s">
        <v>50</v>
      </c>
      <c r="E82" s="44" t="s">
        <v>198</v>
      </c>
      <c r="F82" s="45">
        <v>18164210</v>
      </c>
      <c r="G82" s="8" t="s">
        <v>17</v>
      </c>
      <c r="H82" s="39" t="s">
        <v>204</v>
      </c>
    </row>
    <row r="83" spans="1:8" ht="16" x14ac:dyDescent="0.2">
      <c r="A83" s="2">
        <v>318</v>
      </c>
      <c r="B83" s="37">
        <v>45609</v>
      </c>
      <c r="C83" s="3" t="s">
        <v>81</v>
      </c>
      <c r="D83" s="5" t="s">
        <v>60</v>
      </c>
      <c r="E83" s="38" t="s">
        <v>205</v>
      </c>
      <c r="F83" s="20">
        <v>870295</v>
      </c>
      <c r="G83" s="8" t="s">
        <v>31</v>
      </c>
      <c r="H83" s="39" t="s">
        <v>206</v>
      </c>
    </row>
    <row r="84" spans="1:8" ht="16" x14ac:dyDescent="0.2">
      <c r="A84" s="2">
        <v>319</v>
      </c>
      <c r="B84" s="37">
        <v>45615</v>
      </c>
      <c r="C84" s="3" t="s">
        <v>59</v>
      </c>
      <c r="D84" s="5" t="s">
        <v>60</v>
      </c>
      <c r="E84" s="38" t="s">
        <v>207</v>
      </c>
      <c r="F84" s="52">
        <v>1994726</v>
      </c>
      <c r="G84" s="8" t="s">
        <v>31</v>
      </c>
      <c r="H84" s="39" t="s">
        <v>208</v>
      </c>
    </row>
    <row r="85" spans="1:8" ht="15" x14ac:dyDescent="0.2">
      <c r="A85" s="2">
        <v>320</v>
      </c>
      <c r="B85" s="37">
        <v>45660</v>
      </c>
      <c r="C85" s="3" t="s">
        <v>200</v>
      </c>
      <c r="D85" s="5" t="s">
        <v>209</v>
      </c>
      <c r="E85" s="38" t="s">
        <v>210</v>
      </c>
      <c r="F85" s="38">
        <v>8492882</v>
      </c>
      <c r="G85" s="8" t="s">
        <v>31</v>
      </c>
      <c r="H85" s="39" t="s">
        <v>211</v>
      </c>
    </row>
    <row r="86" spans="1:8" ht="16" x14ac:dyDescent="0.2">
      <c r="A86" s="2">
        <v>321</v>
      </c>
      <c r="B86" s="37">
        <v>45663</v>
      </c>
      <c r="C86" s="3" t="s">
        <v>212</v>
      </c>
      <c r="D86" s="5" t="s">
        <v>50</v>
      </c>
      <c r="E86" s="38" t="s">
        <v>213</v>
      </c>
      <c r="F86" s="20">
        <v>14453764</v>
      </c>
      <c r="G86" s="8" t="s">
        <v>31</v>
      </c>
      <c r="H86" s="39" t="s">
        <v>214</v>
      </c>
    </row>
    <row r="87" spans="1:8" ht="16" x14ac:dyDescent="0.2">
      <c r="A87" s="2">
        <v>322</v>
      </c>
      <c r="B87" s="37">
        <v>46760</v>
      </c>
      <c r="C87" s="3" t="s">
        <v>215</v>
      </c>
      <c r="D87" s="5" t="s">
        <v>53</v>
      </c>
      <c r="E87" s="38" t="s">
        <v>216</v>
      </c>
      <c r="F87" s="52">
        <v>3687332</v>
      </c>
      <c r="G87" s="8" t="s">
        <v>17</v>
      </c>
      <c r="H87" s="39" t="s">
        <v>217</v>
      </c>
    </row>
    <row r="88" spans="1:8" ht="16" x14ac:dyDescent="0.2">
      <c r="A88" s="2">
        <v>323</v>
      </c>
      <c r="B88" s="53">
        <v>45671</v>
      </c>
      <c r="C88" s="3" t="s">
        <v>81</v>
      </c>
      <c r="D88" s="5" t="s">
        <v>218</v>
      </c>
      <c r="E88" s="38" t="s">
        <v>219</v>
      </c>
      <c r="F88" s="20">
        <v>9003266</v>
      </c>
      <c r="G88" s="8" t="s">
        <v>31</v>
      </c>
      <c r="H88" s="54"/>
    </row>
    <row r="89" spans="1:8" ht="16" x14ac:dyDescent="0.2">
      <c r="A89" s="2">
        <v>324</v>
      </c>
      <c r="B89" s="53">
        <v>45306</v>
      </c>
      <c r="C89" s="3" t="s">
        <v>220</v>
      </c>
      <c r="D89" s="5" t="s">
        <v>221</v>
      </c>
      <c r="E89" s="55" t="s">
        <v>222</v>
      </c>
      <c r="F89" s="20">
        <v>1500333</v>
      </c>
      <c r="G89" s="8" t="s">
        <v>17</v>
      </c>
      <c r="H89" s="39" t="s">
        <v>223</v>
      </c>
    </row>
    <row r="90" spans="1:8" ht="16" x14ac:dyDescent="0.2">
      <c r="A90" s="2">
        <v>325</v>
      </c>
      <c r="B90" s="53">
        <v>45679</v>
      </c>
      <c r="C90" s="3" t="s">
        <v>224</v>
      </c>
      <c r="D90" s="5" t="s">
        <v>50</v>
      </c>
      <c r="E90" s="38" t="s">
        <v>225</v>
      </c>
      <c r="F90" s="20">
        <v>1400293</v>
      </c>
      <c r="G90" s="8" t="s">
        <v>31</v>
      </c>
      <c r="H90" s="54"/>
    </row>
    <row r="91" spans="1:8" ht="16" x14ac:dyDescent="0.2">
      <c r="A91" s="2">
        <v>326</v>
      </c>
      <c r="B91" s="53">
        <v>45685</v>
      </c>
      <c r="C91" s="3" t="s">
        <v>76</v>
      </c>
      <c r="D91" s="5" t="s">
        <v>53</v>
      </c>
      <c r="E91" s="38" t="s">
        <v>226</v>
      </c>
      <c r="F91" s="20">
        <v>9580780</v>
      </c>
      <c r="G91" s="8" t="s">
        <v>17</v>
      </c>
      <c r="H91" s="39" t="s">
        <v>227</v>
      </c>
    </row>
    <row r="92" spans="1:8" ht="16" x14ac:dyDescent="0.2">
      <c r="A92" s="2">
        <v>327</v>
      </c>
      <c r="B92" s="53">
        <v>45698</v>
      </c>
      <c r="C92" s="3" t="s">
        <v>215</v>
      </c>
      <c r="D92" s="5" t="s">
        <v>53</v>
      </c>
      <c r="E92" s="38" t="s">
        <v>228</v>
      </c>
      <c r="F92" s="20">
        <v>15584770</v>
      </c>
      <c r="G92" s="8" t="s">
        <v>17</v>
      </c>
      <c r="H92" s="39" t="s">
        <v>229</v>
      </c>
    </row>
    <row r="93" spans="1:8" ht="16" x14ac:dyDescent="0.2">
      <c r="A93" s="2">
        <v>328</v>
      </c>
      <c r="B93" s="53">
        <v>45698</v>
      </c>
      <c r="C93" s="3" t="s">
        <v>59</v>
      </c>
      <c r="D93" s="5" t="s">
        <v>230</v>
      </c>
      <c r="E93" s="38" t="s">
        <v>231</v>
      </c>
      <c r="F93" s="20">
        <v>3274580</v>
      </c>
      <c r="G93" s="8" t="s">
        <v>31</v>
      </c>
      <c r="H93" s="39" t="s">
        <v>232</v>
      </c>
    </row>
    <row r="94" spans="1:8" ht="16" x14ac:dyDescent="0.2">
      <c r="A94" s="2">
        <v>329</v>
      </c>
      <c r="B94" s="53">
        <v>45713</v>
      </c>
      <c r="C94" s="3" t="s">
        <v>81</v>
      </c>
      <c r="D94" s="5" t="s">
        <v>129</v>
      </c>
      <c r="E94" s="38" t="s">
        <v>233</v>
      </c>
      <c r="F94" s="20">
        <v>7920514</v>
      </c>
      <c r="G94" s="8" t="s">
        <v>31</v>
      </c>
      <c r="H94" s="39" t="s">
        <v>234</v>
      </c>
    </row>
    <row r="95" spans="1:8" ht="16" x14ac:dyDescent="0.2">
      <c r="A95" s="2">
        <v>330</v>
      </c>
      <c r="B95" s="53">
        <v>45716</v>
      </c>
      <c r="C95" s="3" t="s">
        <v>200</v>
      </c>
      <c r="D95" s="5" t="s">
        <v>129</v>
      </c>
      <c r="E95" s="38" t="s">
        <v>15</v>
      </c>
      <c r="F95" s="20">
        <v>8482882</v>
      </c>
      <c r="G95" s="8" t="s">
        <v>17</v>
      </c>
      <c r="H95" s="39" t="s">
        <v>235</v>
      </c>
    </row>
    <row r="96" spans="1:8" ht="16" x14ac:dyDescent="0.2">
      <c r="A96" s="2">
        <v>331</v>
      </c>
      <c r="B96" s="53">
        <v>45726</v>
      </c>
      <c r="C96" s="3" t="s">
        <v>59</v>
      </c>
      <c r="D96" s="5" t="s">
        <v>50</v>
      </c>
      <c r="E96" s="38" t="s">
        <v>236</v>
      </c>
      <c r="F96" s="20">
        <v>85522500</v>
      </c>
      <c r="G96" s="8" t="s">
        <v>31</v>
      </c>
      <c r="H96" s="39" t="s">
        <v>237</v>
      </c>
    </row>
    <row r="97" spans="1:8" ht="16" x14ac:dyDescent="0.2">
      <c r="A97" s="2">
        <v>332</v>
      </c>
      <c r="B97" s="53">
        <v>45728</v>
      </c>
      <c r="C97" s="3" t="s">
        <v>59</v>
      </c>
      <c r="D97" s="5" t="s">
        <v>230</v>
      </c>
      <c r="E97" s="38" t="s">
        <v>144</v>
      </c>
      <c r="F97" s="20">
        <v>40739989</v>
      </c>
      <c r="G97" s="8" t="s">
        <v>17</v>
      </c>
      <c r="H97" s="39" t="s">
        <v>238</v>
      </c>
    </row>
    <row r="98" spans="1:8" ht="16" x14ac:dyDescent="0.2">
      <c r="A98" s="2">
        <v>333</v>
      </c>
      <c r="B98" s="53">
        <v>45733</v>
      </c>
      <c r="C98" s="3" t="s">
        <v>239</v>
      </c>
      <c r="D98" s="5" t="s">
        <v>218</v>
      </c>
      <c r="E98" s="38" t="s">
        <v>240</v>
      </c>
      <c r="F98" s="20">
        <v>10122286</v>
      </c>
      <c r="G98" s="8" t="s">
        <v>31</v>
      </c>
      <c r="H98" s="39" t="s">
        <v>241</v>
      </c>
    </row>
    <row r="99" spans="1:8" ht="16" x14ac:dyDescent="0.2">
      <c r="A99" s="2">
        <v>334</v>
      </c>
      <c r="B99" s="53">
        <v>45733</v>
      </c>
      <c r="C99" s="3" t="s">
        <v>121</v>
      </c>
      <c r="D99" s="5" t="s">
        <v>218</v>
      </c>
      <c r="E99" s="38" t="s">
        <v>240</v>
      </c>
      <c r="F99" s="20">
        <v>2710167</v>
      </c>
      <c r="G99" s="8" t="s">
        <v>17</v>
      </c>
      <c r="H99" s="39" t="s">
        <v>241</v>
      </c>
    </row>
    <row r="100" spans="1:8" ht="16" x14ac:dyDescent="0.2">
      <c r="A100" s="2">
        <v>335</v>
      </c>
      <c r="B100" s="53">
        <v>45735</v>
      </c>
      <c r="C100" s="3" t="s">
        <v>200</v>
      </c>
      <c r="D100" s="5" t="s">
        <v>53</v>
      </c>
      <c r="E100" s="38" t="s">
        <v>242</v>
      </c>
      <c r="F100" s="20">
        <v>3637518.94</v>
      </c>
      <c r="G100" s="8" t="s">
        <v>31</v>
      </c>
      <c r="H100" s="39" t="s">
        <v>243</v>
      </c>
    </row>
    <row r="101" spans="1:8" ht="16" x14ac:dyDescent="0.2">
      <c r="A101" s="2">
        <v>336</v>
      </c>
      <c r="B101" s="53">
        <v>45741</v>
      </c>
      <c r="C101" s="3" t="s">
        <v>59</v>
      </c>
      <c r="D101" s="5" t="s">
        <v>50</v>
      </c>
      <c r="E101" s="38" t="s">
        <v>244</v>
      </c>
      <c r="F101" s="20">
        <v>45785</v>
      </c>
      <c r="G101" s="8" t="s">
        <v>31</v>
      </c>
      <c r="H101" s="39" t="s">
        <v>245</v>
      </c>
    </row>
    <row r="102" spans="1:8" ht="16" x14ac:dyDescent="0.2">
      <c r="A102" s="2">
        <v>337</v>
      </c>
      <c r="B102" s="53">
        <v>45741</v>
      </c>
      <c r="C102" s="3" t="s">
        <v>63</v>
      </c>
      <c r="D102" s="5" t="s">
        <v>218</v>
      </c>
      <c r="E102" s="38" t="s">
        <v>246</v>
      </c>
      <c r="F102" s="20">
        <v>17038391</v>
      </c>
      <c r="G102" s="8" t="s">
        <v>31</v>
      </c>
      <c r="H102" s="39" t="s">
        <v>247</v>
      </c>
    </row>
    <row r="103" spans="1:8" ht="16" x14ac:dyDescent="0.2">
      <c r="A103" s="2">
        <v>338</v>
      </c>
      <c r="B103" s="53">
        <v>45741</v>
      </c>
      <c r="C103" s="3" t="s">
        <v>248</v>
      </c>
      <c r="D103" s="5" t="s">
        <v>177</v>
      </c>
      <c r="E103" s="38" t="s">
        <v>158</v>
      </c>
      <c r="F103" s="20">
        <v>242739</v>
      </c>
      <c r="G103" s="8" t="s">
        <v>31</v>
      </c>
      <c r="H103" s="39" t="s">
        <v>249</v>
      </c>
    </row>
    <row r="104" spans="1:8" ht="16" x14ac:dyDescent="0.2">
      <c r="A104" s="2">
        <v>339</v>
      </c>
      <c r="B104" s="53">
        <v>45741</v>
      </c>
      <c r="C104" s="3" t="s">
        <v>250</v>
      </c>
      <c r="D104" s="5" t="s">
        <v>53</v>
      </c>
      <c r="E104" s="38" t="s">
        <v>251</v>
      </c>
      <c r="F104" s="20">
        <v>2729987</v>
      </c>
      <c r="G104" s="8" t="s">
        <v>31</v>
      </c>
      <c r="H104" s="39" t="s">
        <v>252</v>
      </c>
    </row>
    <row r="105" spans="1:8" ht="16" x14ac:dyDescent="0.2">
      <c r="A105" s="2">
        <v>340</v>
      </c>
      <c r="B105" s="53">
        <v>45747</v>
      </c>
      <c r="C105" s="3" t="s">
        <v>253</v>
      </c>
      <c r="D105" s="5" t="s">
        <v>177</v>
      </c>
      <c r="E105" s="38" t="s">
        <v>158</v>
      </c>
      <c r="F105" s="20">
        <v>263000</v>
      </c>
      <c r="G105" s="8" t="s">
        <v>31</v>
      </c>
      <c r="H105" s="39" t="s">
        <v>249</v>
      </c>
    </row>
    <row r="106" spans="1:8" ht="16" x14ac:dyDescent="0.2">
      <c r="A106" s="2">
        <v>341</v>
      </c>
      <c r="B106" s="53">
        <v>45747</v>
      </c>
      <c r="C106" s="3" t="s">
        <v>254</v>
      </c>
      <c r="D106" s="5" t="s">
        <v>50</v>
      </c>
      <c r="E106" s="38" t="s">
        <v>255</v>
      </c>
      <c r="F106" s="20">
        <v>18705586</v>
      </c>
      <c r="G106" s="8" t="s">
        <v>31</v>
      </c>
      <c r="H106" s="39" t="s">
        <v>256</v>
      </c>
    </row>
    <row r="107" spans="1:8" ht="16" x14ac:dyDescent="0.2">
      <c r="A107" s="2">
        <v>342</v>
      </c>
      <c r="B107" s="53">
        <v>45748</v>
      </c>
      <c r="C107" s="3" t="s">
        <v>257</v>
      </c>
      <c r="D107" s="5" t="s">
        <v>218</v>
      </c>
      <c r="E107" s="38" t="s">
        <v>246</v>
      </c>
      <c r="F107" s="20">
        <v>23944433</v>
      </c>
      <c r="G107" s="8" t="s">
        <v>31</v>
      </c>
      <c r="H107" s="39" t="s">
        <v>258</v>
      </c>
    </row>
    <row r="108" spans="1:8" ht="16" x14ac:dyDescent="0.2">
      <c r="A108" s="2">
        <v>343</v>
      </c>
      <c r="B108" s="53">
        <v>45751</v>
      </c>
      <c r="C108" s="3" t="s">
        <v>259</v>
      </c>
      <c r="D108" s="5" t="s">
        <v>218</v>
      </c>
      <c r="E108" s="38" t="s">
        <v>260</v>
      </c>
      <c r="F108" s="20">
        <v>18705586</v>
      </c>
      <c r="G108" s="8" t="s">
        <v>31</v>
      </c>
      <c r="H108" s="39" t="s">
        <v>261</v>
      </c>
    </row>
    <row r="109" spans="1:8" ht="16" x14ac:dyDescent="0.2">
      <c r="A109" s="2">
        <v>344</v>
      </c>
      <c r="B109" s="53">
        <v>45761</v>
      </c>
      <c r="C109" s="3" t="s">
        <v>262</v>
      </c>
      <c r="D109" s="5" t="s">
        <v>53</v>
      </c>
      <c r="E109" s="38" t="s">
        <v>263</v>
      </c>
      <c r="F109" s="20">
        <v>13036296</v>
      </c>
      <c r="G109" s="8" t="s">
        <v>17</v>
      </c>
      <c r="H109" s="39" t="s">
        <v>264</v>
      </c>
    </row>
    <row r="110" spans="1:8" ht="16" x14ac:dyDescent="0.2">
      <c r="A110" s="2">
        <v>345</v>
      </c>
      <c r="B110" s="53">
        <v>45769</v>
      </c>
      <c r="C110" s="3" t="s">
        <v>11</v>
      </c>
      <c r="D110" s="5" t="s">
        <v>53</v>
      </c>
      <c r="E110" s="38" t="s">
        <v>265</v>
      </c>
      <c r="F110" s="20">
        <v>480078.39</v>
      </c>
      <c r="G110" s="8" t="s">
        <v>17</v>
      </c>
      <c r="H110" s="39" t="s">
        <v>266</v>
      </c>
    </row>
    <row r="111" spans="1:8" ht="16" x14ac:dyDescent="0.2">
      <c r="A111" s="2">
        <v>346</v>
      </c>
      <c r="B111" s="53">
        <v>45771</v>
      </c>
      <c r="C111" s="3" t="s">
        <v>267</v>
      </c>
      <c r="D111" s="5" t="s">
        <v>218</v>
      </c>
      <c r="E111" s="38" t="s">
        <v>268</v>
      </c>
      <c r="F111" s="20">
        <v>8231083</v>
      </c>
      <c r="G111" s="8" t="s">
        <v>31</v>
      </c>
      <c r="H111" s="39" t="s">
        <v>240</v>
      </c>
    </row>
    <row r="112" spans="1:8" ht="16" x14ac:dyDescent="0.2">
      <c r="A112" s="2">
        <v>347</v>
      </c>
      <c r="B112" s="53">
        <v>45771</v>
      </c>
      <c r="C112" s="3" t="s">
        <v>269</v>
      </c>
      <c r="D112" s="5" t="s">
        <v>270</v>
      </c>
      <c r="E112" s="38" t="s">
        <v>271</v>
      </c>
      <c r="F112" s="20">
        <v>4235000</v>
      </c>
      <c r="G112" s="8" t="s">
        <v>17</v>
      </c>
      <c r="H112" s="56" t="s">
        <v>272</v>
      </c>
    </row>
    <row r="113" spans="1:8" ht="16" x14ac:dyDescent="0.2">
      <c r="A113" s="2">
        <v>348</v>
      </c>
      <c r="B113" s="5" t="s">
        <v>273</v>
      </c>
      <c r="C113" s="3" t="s">
        <v>274</v>
      </c>
      <c r="D113" s="5">
        <v>4075</v>
      </c>
      <c r="E113" s="38" t="s">
        <v>275</v>
      </c>
      <c r="F113" s="20">
        <v>42411468</v>
      </c>
      <c r="G113" s="8" t="s">
        <v>17</v>
      </c>
      <c r="H113" s="56" t="s">
        <v>276</v>
      </c>
    </row>
    <row r="114" spans="1:8" ht="16" x14ac:dyDescent="0.2">
      <c r="A114" s="2">
        <v>349</v>
      </c>
      <c r="B114" s="53">
        <v>45786</v>
      </c>
      <c r="C114" s="3" t="s">
        <v>200</v>
      </c>
      <c r="D114" s="5" t="s">
        <v>277</v>
      </c>
      <c r="E114" s="38" t="s">
        <v>198</v>
      </c>
      <c r="F114" s="20">
        <v>41103820.909999996</v>
      </c>
      <c r="G114" s="8" t="s">
        <v>17</v>
      </c>
      <c r="H114" s="56" t="s">
        <v>69</v>
      </c>
    </row>
    <row r="115" spans="1:8" ht="16" x14ac:dyDescent="0.2">
      <c r="A115" s="2">
        <v>350</v>
      </c>
      <c r="B115" s="53">
        <v>45792</v>
      </c>
      <c r="C115" s="3" t="s">
        <v>269</v>
      </c>
      <c r="D115" s="5" t="s">
        <v>278</v>
      </c>
      <c r="E115" s="38" t="s">
        <v>279</v>
      </c>
      <c r="F115" s="20">
        <v>35368393</v>
      </c>
      <c r="G115" s="8" t="s">
        <v>17</v>
      </c>
      <c r="H115" s="56" t="s">
        <v>280</v>
      </c>
    </row>
    <row r="116" spans="1:8" ht="16" x14ac:dyDescent="0.2">
      <c r="A116" s="2">
        <v>351</v>
      </c>
      <c r="B116" s="53">
        <v>45792</v>
      </c>
      <c r="C116" s="3" t="s">
        <v>281</v>
      </c>
      <c r="D116" s="5" t="s">
        <v>282</v>
      </c>
      <c r="E116" s="38" t="s">
        <v>283</v>
      </c>
      <c r="F116" s="20">
        <v>41188943</v>
      </c>
      <c r="G116" s="8" t="s">
        <v>31</v>
      </c>
      <c r="H116" s="56" t="s">
        <v>284</v>
      </c>
    </row>
    <row r="117" spans="1:8" ht="16" x14ac:dyDescent="0.2">
      <c r="A117" s="2">
        <v>352</v>
      </c>
      <c r="B117" s="53">
        <v>45792</v>
      </c>
      <c r="C117" s="3" t="s">
        <v>285</v>
      </c>
      <c r="D117" s="5" t="s">
        <v>286</v>
      </c>
      <c r="E117" s="38" t="s">
        <v>287</v>
      </c>
      <c r="F117" s="20">
        <v>18149999.52</v>
      </c>
      <c r="G117" s="8" t="s">
        <v>17</v>
      </c>
      <c r="H117" s="56" t="s">
        <v>288</v>
      </c>
    </row>
    <row r="118" spans="1:8" ht="16" x14ac:dyDescent="0.2">
      <c r="A118" s="2">
        <v>353</v>
      </c>
      <c r="B118" s="53">
        <v>45797</v>
      </c>
      <c r="C118" s="3" t="s">
        <v>289</v>
      </c>
      <c r="D118" s="5" t="s">
        <v>277</v>
      </c>
      <c r="E118" s="38" t="s">
        <v>158</v>
      </c>
      <c r="F118" s="20">
        <v>157201200</v>
      </c>
      <c r="G118" s="8" t="s">
        <v>31</v>
      </c>
      <c r="H118" s="56" t="s">
        <v>290</v>
      </c>
    </row>
    <row r="119" spans="1:8" ht="16" x14ac:dyDescent="0.2">
      <c r="A119" s="2">
        <v>354</v>
      </c>
      <c r="B119" s="53">
        <v>45797</v>
      </c>
      <c r="C119" s="3" t="s">
        <v>285</v>
      </c>
      <c r="D119" s="5" t="s">
        <v>164</v>
      </c>
      <c r="E119" s="38" t="s">
        <v>291</v>
      </c>
      <c r="F119" s="20">
        <v>8226487</v>
      </c>
      <c r="G119" s="8" t="s">
        <v>36</v>
      </c>
      <c r="H119" s="56"/>
    </row>
    <row r="120" spans="1:8" ht="16" x14ac:dyDescent="0.2">
      <c r="A120" s="2">
        <v>355</v>
      </c>
      <c r="B120" s="53">
        <v>45803</v>
      </c>
      <c r="C120" s="3" t="s">
        <v>22</v>
      </c>
      <c r="D120" s="5" t="s">
        <v>53</v>
      </c>
      <c r="E120" s="38" t="s">
        <v>263</v>
      </c>
      <c r="F120" s="20">
        <v>7745105.3399999999</v>
      </c>
      <c r="G120" s="8" t="s">
        <v>17</v>
      </c>
      <c r="H120" s="56" t="s">
        <v>292</v>
      </c>
    </row>
    <row r="121" spans="1:8" ht="16" x14ac:dyDescent="0.2">
      <c r="A121" s="2">
        <v>356</v>
      </c>
      <c r="B121" s="53">
        <v>45803</v>
      </c>
      <c r="C121" s="3" t="s">
        <v>67</v>
      </c>
      <c r="D121" s="5" t="s">
        <v>293</v>
      </c>
      <c r="E121" s="38" t="s">
        <v>263</v>
      </c>
      <c r="F121" s="20">
        <v>9778860.2899999991</v>
      </c>
      <c r="G121" s="8" t="s">
        <v>17</v>
      </c>
      <c r="H121" s="56" t="s">
        <v>292</v>
      </c>
    </row>
    <row r="122" spans="1:8" ht="16" x14ac:dyDescent="0.2">
      <c r="A122" s="2">
        <v>357</v>
      </c>
      <c r="B122" s="53">
        <v>45804</v>
      </c>
      <c r="C122" s="3" t="s">
        <v>81</v>
      </c>
      <c r="D122" s="5" t="s">
        <v>146</v>
      </c>
      <c r="E122" s="38" t="s">
        <v>294</v>
      </c>
      <c r="F122" s="20">
        <v>1963104</v>
      </c>
      <c r="G122" s="8" t="s">
        <v>31</v>
      </c>
      <c r="H122" s="56" t="s">
        <v>295</v>
      </c>
    </row>
    <row r="123" spans="1:8" ht="16" x14ac:dyDescent="0.2">
      <c r="A123" s="2">
        <v>358</v>
      </c>
      <c r="B123" s="53">
        <v>45804</v>
      </c>
      <c r="C123" s="3" t="s">
        <v>203</v>
      </c>
      <c r="D123" s="5" t="s">
        <v>282</v>
      </c>
      <c r="E123" s="38" t="s">
        <v>263</v>
      </c>
      <c r="F123" s="20">
        <v>3083958.28</v>
      </c>
      <c r="G123" s="8" t="s">
        <v>17</v>
      </c>
      <c r="H123" s="56" t="s">
        <v>292</v>
      </c>
    </row>
    <row r="124" spans="1:8" ht="16" x14ac:dyDescent="0.2">
      <c r="A124" s="2">
        <v>359</v>
      </c>
      <c r="B124" s="53">
        <v>45807</v>
      </c>
      <c r="C124" s="3" t="s">
        <v>67</v>
      </c>
      <c r="D124" s="5" t="s">
        <v>293</v>
      </c>
      <c r="E124" s="38" t="s">
        <v>296</v>
      </c>
      <c r="F124" s="20">
        <v>16070323.6</v>
      </c>
      <c r="G124" s="8" t="s">
        <v>31</v>
      </c>
      <c r="H124" s="56" t="s">
        <v>297</v>
      </c>
    </row>
    <row r="125" spans="1:8" ht="16" x14ac:dyDescent="0.2">
      <c r="A125" s="2">
        <v>360</v>
      </c>
      <c r="B125" s="53">
        <v>45812</v>
      </c>
      <c r="C125" s="3" t="s">
        <v>298</v>
      </c>
      <c r="D125" s="5" t="s">
        <v>299</v>
      </c>
      <c r="E125" s="38" t="s">
        <v>300</v>
      </c>
      <c r="F125" s="20">
        <v>2530500</v>
      </c>
      <c r="G125" s="8" t="s">
        <v>31</v>
      </c>
      <c r="H125" s="56" t="s">
        <v>301</v>
      </c>
    </row>
    <row r="126" spans="1:8" ht="16" x14ac:dyDescent="0.2">
      <c r="A126" s="2">
        <v>361</v>
      </c>
      <c r="B126" s="53">
        <v>45813</v>
      </c>
      <c r="C126" s="3" t="s">
        <v>302</v>
      </c>
      <c r="D126" s="5" t="s">
        <v>50</v>
      </c>
      <c r="E126" s="38" t="s">
        <v>303</v>
      </c>
      <c r="F126" s="20">
        <v>1824565.22</v>
      </c>
      <c r="G126" s="8" t="s">
        <v>31</v>
      </c>
      <c r="H126" s="56" t="s">
        <v>304</v>
      </c>
    </row>
    <row r="127" spans="1:8" ht="16" x14ac:dyDescent="0.2">
      <c r="A127" s="2">
        <v>362</v>
      </c>
      <c r="B127" s="53">
        <v>45813</v>
      </c>
      <c r="C127" s="3" t="s">
        <v>22</v>
      </c>
      <c r="D127" s="5" t="s">
        <v>53</v>
      </c>
      <c r="E127" s="38" t="s">
        <v>305</v>
      </c>
      <c r="F127" s="20">
        <v>33411630</v>
      </c>
      <c r="G127" s="8" t="s">
        <v>17</v>
      </c>
      <c r="H127" s="56" t="s">
        <v>284</v>
      </c>
    </row>
    <row r="128" spans="1:8" ht="16" x14ac:dyDescent="0.2">
      <c r="A128" s="2">
        <v>363</v>
      </c>
      <c r="B128" s="53">
        <v>45817</v>
      </c>
      <c r="C128" s="3" t="s">
        <v>22</v>
      </c>
      <c r="D128" s="5" t="s">
        <v>53</v>
      </c>
      <c r="E128" s="38" t="s">
        <v>306</v>
      </c>
      <c r="F128" s="20">
        <v>6971421.0099999998</v>
      </c>
      <c r="G128" s="8" t="s">
        <v>17</v>
      </c>
      <c r="H128" s="56" t="s">
        <v>307</v>
      </c>
    </row>
    <row r="129" spans="1:8" ht="16" x14ac:dyDescent="0.2">
      <c r="A129" s="2">
        <v>364</v>
      </c>
      <c r="B129" s="53">
        <v>45819</v>
      </c>
      <c r="C129" s="3" t="s">
        <v>203</v>
      </c>
      <c r="D129" s="5" t="s">
        <v>53</v>
      </c>
      <c r="E129" s="38" t="s">
        <v>118</v>
      </c>
      <c r="F129" s="20">
        <v>7160000</v>
      </c>
      <c r="G129" s="8" t="s">
        <v>17</v>
      </c>
      <c r="H129" s="56" t="s">
        <v>118</v>
      </c>
    </row>
    <row r="130" spans="1:8" ht="16" x14ac:dyDescent="0.2">
      <c r="A130" s="2">
        <v>365</v>
      </c>
      <c r="B130" s="53">
        <v>45826</v>
      </c>
      <c r="C130" s="3" t="s">
        <v>257</v>
      </c>
      <c r="D130" s="5" t="s">
        <v>308</v>
      </c>
      <c r="E130" s="38" t="s">
        <v>309</v>
      </c>
      <c r="F130" s="20">
        <v>72568859</v>
      </c>
      <c r="G130" s="8" t="s">
        <v>31</v>
      </c>
      <c r="H130" s="56" t="s">
        <v>310</v>
      </c>
    </row>
    <row r="131" spans="1:8" ht="16" x14ac:dyDescent="0.2">
      <c r="A131" s="2">
        <v>366</v>
      </c>
      <c r="B131" s="53">
        <v>45827</v>
      </c>
      <c r="C131" s="3" t="s">
        <v>311</v>
      </c>
      <c r="D131" s="5" t="s">
        <v>14</v>
      </c>
      <c r="E131" s="38" t="s">
        <v>240</v>
      </c>
      <c r="F131" s="20">
        <v>14097201</v>
      </c>
      <c r="G131" s="8" t="s">
        <v>31</v>
      </c>
      <c r="H131" s="56" t="s">
        <v>312</v>
      </c>
    </row>
    <row r="132" spans="1:8" ht="16" x14ac:dyDescent="0.2">
      <c r="A132" s="2">
        <v>367</v>
      </c>
      <c r="B132" s="53">
        <v>45831</v>
      </c>
      <c r="C132" s="3" t="s">
        <v>138</v>
      </c>
      <c r="D132" s="5" t="s">
        <v>221</v>
      </c>
      <c r="E132" s="38" t="s">
        <v>313</v>
      </c>
      <c r="F132" s="20">
        <v>20104860</v>
      </c>
      <c r="G132" s="8" t="s">
        <v>17</v>
      </c>
      <c r="H132" s="56" t="s">
        <v>314</v>
      </c>
    </row>
    <row r="133" spans="1:8" ht="16" x14ac:dyDescent="0.2">
      <c r="A133" s="2">
        <v>368</v>
      </c>
      <c r="B133" s="53">
        <v>45832</v>
      </c>
      <c r="C133" s="3" t="s">
        <v>67</v>
      </c>
      <c r="D133" s="5" t="s">
        <v>53</v>
      </c>
      <c r="E133" s="38" t="s">
        <v>315</v>
      </c>
      <c r="F133" s="20">
        <v>988267</v>
      </c>
      <c r="G133" s="8" t="s">
        <v>17</v>
      </c>
      <c r="H133" s="56" t="s">
        <v>316</v>
      </c>
    </row>
    <row r="134" spans="1:8" ht="16" x14ac:dyDescent="0.2">
      <c r="A134" s="2">
        <v>369</v>
      </c>
      <c r="B134" s="53">
        <v>45842</v>
      </c>
      <c r="C134" s="3" t="s">
        <v>317</v>
      </c>
      <c r="D134" s="5" t="s">
        <v>164</v>
      </c>
      <c r="E134" s="38" t="s">
        <v>240</v>
      </c>
      <c r="F134" s="20">
        <v>1748371.35</v>
      </c>
      <c r="G134" s="8" t="s">
        <v>17</v>
      </c>
      <c r="H134" s="56" t="s">
        <v>241</v>
      </c>
    </row>
    <row r="135" spans="1:8" ht="16" x14ac:dyDescent="0.2">
      <c r="A135" s="2">
        <v>370</v>
      </c>
      <c r="B135" s="53">
        <v>45845</v>
      </c>
      <c r="C135" s="3" t="s">
        <v>317</v>
      </c>
      <c r="D135" s="5" t="s">
        <v>164</v>
      </c>
      <c r="E135" s="38" t="s">
        <v>118</v>
      </c>
      <c r="F135" s="20">
        <v>7046609</v>
      </c>
      <c r="G135" s="8" t="s">
        <v>31</v>
      </c>
      <c r="H135" s="56" t="s">
        <v>318</v>
      </c>
    </row>
    <row r="136" spans="1:8" ht="16" x14ac:dyDescent="0.2">
      <c r="A136" s="2">
        <v>371</v>
      </c>
      <c r="B136" s="53">
        <v>45845</v>
      </c>
      <c r="C136" s="3" t="s">
        <v>200</v>
      </c>
      <c r="D136" s="5" t="s">
        <v>129</v>
      </c>
      <c r="E136" s="38" t="s">
        <v>319</v>
      </c>
      <c r="F136" s="20">
        <v>3953308</v>
      </c>
      <c r="G136" s="8" t="s">
        <v>17</v>
      </c>
      <c r="H136" s="56" t="s">
        <v>320</v>
      </c>
    </row>
    <row r="137" spans="1:8" ht="16" x14ac:dyDescent="0.2">
      <c r="A137" s="2">
        <v>372</v>
      </c>
      <c r="B137" s="53">
        <v>45852</v>
      </c>
      <c r="C137" s="3" t="s">
        <v>200</v>
      </c>
      <c r="D137" s="5" t="s">
        <v>53</v>
      </c>
      <c r="E137" s="38" t="s">
        <v>321</v>
      </c>
      <c r="F137" s="20">
        <v>3795836</v>
      </c>
      <c r="G137" s="8" t="s">
        <v>17</v>
      </c>
      <c r="H137" s="56" t="s">
        <v>241</v>
      </c>
    </row>
    <row r="138" spans="1:8" ht="16" x14ac:dyDescent="0.2">
      <c r="A138" s="2">
        <v>373</v>
      </c>
      <c r="B138" s="53">
        <v>45855</v>
      </c>
      <c r="C138" s="3" t="s">
        <v>322</v>
      </c>
      <c r="D138" s="5" t="s">
        <v>53</v>
      </c>
      <c r="E138" s="38" t="s">
        <v>323</v>
      </c>
      <c r="F138" s="20">
        <v>23200121</v>
      </c>
      <c r="G138" s="8" t="s">
        <v>31</v>
      </c>
      <c r="H138" s="56" t="s">
        <v>324</v>
      </c>
    </row>
    <row r="139" spans="1:8" ht="16" x14ac:dyDescent="0.2">
      <c r="A139" s="2">
        <v>374</v>
      </c>
      <c r="B139" s="53">
        <v>45855</v>
      </c>
      <c r="C139" s="3" t="s">
        <v>33</v>
      </c>
      <c r="D139" s="5" t="s">
        <v>53</v>
      </c>
      <c r="E139" s="38" t="s">
        <v>325</v>
      </c>
      <c r="F139" s="20">
        <v>7214578</v>
      </c>
      <c r="G139" s="8" t="s">
        <v>31</v>
      </c>
      <c r="H139" s="56" t="s">
        <v>326</v>
      </c>
    </row>
    <row r="140" spans="1:8" ht="16" x14ac:dyDescent="0.2">
      <c r="A140" s="2">
        <v>375</v>
      </c>
      <c r="B140" s="53">
        <v>45861</v>
      </c>
      <c r="C140" s="3" t="s">
        <v>327</v>
      </c>
      <c r="D140" s="5" t="s">
        <v>164</v>
      </c>
      <c r="E140" s="38" t="s">
        <v>328</v>
      </c>
      <c r="F140" s="20">
        <v>23052317</v>
      </c>
      <c r="G140" s="8" t="s">
        <v>31</v>
      </c>
      <c r="H140" s="56" t="s">
        <v>329</v>
      </c>
    </row>
    <row r="141" spans="1:8" ht="16" x14ac:dyDescent="0.2">
      <c r="A141" s="2">
        <v>376</v>
      </c>
      <c r="B141" s="53">
        <v>45866</v>
      </c>
      <c r="C141" s="3" t="s">
        <v>67</v>
      </c>
      <c r="D141" s="5" t="s">
        <v>53</v>
      </c>
      <c r="E141" s="38" t="s">
        <v>330</v>
      </c>
      <c r="F141" s="20">
        <v>26287965</v>
      </c>
      <c r="G141" s="8" t="s">
        <v>31</v>
      </c>
      <c r="H141" s="56" t="s">
        <v>331</v>
      </c>
    </row>
    <row r="142" spans="1:8" ht="16" x14ac:dyDescent="0.2">
      <c r="A142" s="2">
        <v>377</v>
      </c>
      <c r="B142" s="53">
        <v>45867</v>
      </c>
      <c r="C142" s="3" t="s">
        <v>327</v>
      </c>
      <c r="D142" s="5" t="s">
        <v>164</v>
      </c>
      <c r="E142" s="38" t="s">
        <v>332</v>
      </c>
      <c r="F142" s="20">
        <v>9217681</v>
      </c>
      <c r="G142" s="8" t="s">
        <v>31</v>
      </c>
      <c r="H142" s="56" t="s">
        <v>333</v>
      </c>
    </row>
    <row r="143" spans="1:8" ht="16" x14ac:dyDescent="0.2">
      <c r="A143" s="2">
        <v>378</v>
      </c>
      <c r="B143" s="53">
        <v>45868</v>
      </c>
      <c r="C143" s="3" t="s">
        <v>22</v>
      </c>
      <c r="D143" s="5" t="s">
        <v>53</v>
      </c>
      <c r="E143" s="38" t="s">
        <v>334</v>
      </c>
      <c r="F143" s="20">
        <v>807520.12</v>
      </c>
      <c r="G143" s="8" t="s">
        <v>17</v>
      </c>
      <c r="H143" s="56" t="s">
        <v>335</v>
      </c>
    </row>
    <row r="144" spans="1:8" ht="16" x14ac:dyDescent="0.2">
      <c r="A144" s="2">
        <v>379</v>
      </c>
      <c r="B144" s="53">
        <v>45870</v>
      </c>
      <c r="C144" s="3" t="s">
        <v>81</v>
      </c>
      <c r="D144" s="5" t="s">
        <v>164</v>
      </c>
      <c r="E144" s="38" t="s">
        <v>261</v>
      </c>
      <c r="F144" s="20">
        <v>37188267</v>
      </c>
      <c r="G144" s="8" t="s">
        <v>31</v>
      </c>
      <c r="H144" s="56" t="s">
        <v>336</v>
      </c>
    </row>
    <row r="145" spans="1:8" ht="16" x14ac:dyDescent="0.2">
      <c r="A145" s="2">
        <v>380</v>
      </c>
      <c r="B145" s="53">
        <v>45873</v>
      </c>
      <c r="C145" s="3" t="s">
        <v>81</v>
      </c>
      <c r="D145" s="5" t="s">
        <v>53</v>
      </c>
      <c r="E145" s="38" t="s">
        <v>337</v>
      </c>
      <c r="F145" s="20"/>
      <c r="G145" s="8" t="s">
        <v>36</v>
      </c>
      <c r="H145" s="56" t="s">
        <v>338</v>
      </c>
    </row>
    <row r="146" spans="1:8" ht="16" x14ac:dyDescent="0.2">
      <c r="A146" s="2">
        <v>381</v>
      </c>
      <c r="B146" s="53">
        <v>45874</v>
      </c>
      <c r="C146" s="3" t="s">
        <v>59</v>
      </c>
      <c r="D146" s="5" t="s">
        <v>282</v>
      </c>
      <c r="E146" s="38" t="s">
        <v>229</v>
      </c>
      <c r="F146" s="20"/>
      <c r="G146" s="8" t="s">
        <v>31</v>
      </c>
      <c r="H146" s="56" t="s">
        <v>339</v>
      </c>
    </row>
    <row r="147" spans="1:8" ht="16" x14ac:dyDescent="0.2">
      <c r="A147" s="2">
        <v>382</v>
      </c>
      <c r="B147" s="53">
        <v>45875</v>
      </c>
      <c r="C147" s="3" t="s">
        <v>200</v>
      </c>
      <c r="D147" s="5" t="s">
        <v>164</v>
      </c>
      <c r="E147" s="38" t="s">
        <v>340</v>
      </c>
      <c r="F147" s="20">
        <v>1233121</v>
      </c>
      <c r="G147" s="8" t="s">
        <v>17</v>
      </c>
      <c r="H147" s="56" t="s">
        <v>341</v>
      </c>
    </row>
    <row r="148" spans="1:8" ht="16" x14ac:dyDescent="0.2">
      <c r="A148" s="2">
        <v>383</v>
      </c>
      <c r="B148" s="53">
        <v>45881</v>
      </c>
      <c r="C148" s="3" t="s">
        <v>67</v>
      </c>
      <c r="D148" s="5" t="s">
        <v>342</v>
      </c>
      <c r="E148" s="38" t="s">
        <v>69</v>
      </c>
      <c r="F148" s="20"/>
      <c r="G148" s="8" t="s">
        <v>31</v>
      </c>
      <c r="H148" s="56"/>
    </row>
    <row r="149" spans="1:8" ht="16" x14ac:dyDescent="0.2">
      <c r="A149" s="2">
        <v>384</v>
      </c>
      <c r="B149" s="53">
        <v>45889</v>
      </c>
      <c r="C149" s="3" t="s">
        <v>343</v>
      </c>
      <c r="D149" s="5" t="s">
        <v>164</v>
      </c>
      <c r="E149" s="38" t="s">
        <v>240</v>
      </c>
      <c r="F149" s="20">
        <v>2640027.61</v>
      </c>
      <c r="G149" s="8" t="s">
        <v>17</v>
      </c>
      <c r="H149" s="56" t="s">
        <v>344</v>
      </c>
    </row>
    <row r="150" spans="1:8" ht="16" x14ac:dyDescent="0.2">
      <c r="A150" s="2">
        <v>385</v>
      </c>
      <c r="B150" s="53">
        <v>45890</v>
      </c>
      <c r="C150" s="3" t="s">
        <v>13</v>
      </c>
      <c r="D150" s="5" t="s">
        <v>129</v>
      </c>
      <c r="E150" s="38" t="s">
        <v>345</v>
      </c>
      <c r="F150" s="57">
        <v>181662</v>
      </c>
      <c r="G150" s="8" t="s">
        <v>31</v>
      </c>
      <c r="H150" s="56" t="s">
        <v>158</v>
      </c>
    </row>
    <row r="151" spans="1:8" ht="16" x14ac:dyDescent="0.2">
      <c r="A151" s="2">
        <v>386</v>
      </c>
      <c r="B151" s="53">
        <v>45890</v>
      </c>
      <c r="C151" s="3" t="s">
        <v>13</v>
      </c>
      <c r="D151" s="5" t="s">
        <v>53</v>
      </c>
      <c r="E151" s="38" t="s">
        <v>345</v>
      </c>
      <c r="F151" s="57">
        <v>374595</v>
      </c>
      <c r="G151" s="8" t="s">
        <v>31</v>
      </c>
      <c r="H151" s="56" t="s">
        <v>158</v>
      </c>
    </row>
    <row r="152" spans="1:8" ht="16" x14ac:dyDescent="0.2">
      <c r="A152" s="2">
        <v>387</v>
      </c>
      <c r="B152" s="53">
        <v>45895</v>
      </c>
      <c r="C152" s="3" t="s">
        <v>346</v>
      </c>
      <c r="D152" s="5" t="s">
        <v>164</v>
      </c>
      <c r="E152" s="38" t="s">
        <v>347</v>
      </c>
      <c r="F152" s="20">
        <v>5934275</v>
      </c>
      <c r="G152" s="8" t="s">
        <v>31</v>
      </c>
      <c r="H152" s="56" t="s">
        <v>348</v>
      </c>
    </row>
    <row r="153" spans="1:8" ht="16" x14ac:dyDescent="0.2">
      <c r="A153" s="2">
        <v>389</v>
      </c>
      <c r="B153" s="53">
        <v>45895</v>
      </c>
      <c r="C153" s="3" t="s">
        <v>33</v>
      </c>
      <c r="D153" s="5" t="s">
        <v>129</v>
      </c>
      <c r="E153" s="38" t="s">
        <v>349</v>
      </c>
      <c r="F153" s="57">
        <v>181662</v>
      </c>
      <c r="G153" s="8" t="s">
        <v>31</v>
      </c>
      <c r="H153" s="56" t="s">
        <v>350</v>
      </c>
    </row>
    <row r="154" spans="1:8" ht="16" x14ac:dyDescent="0.2">
      <c r="A154" s="2">
        <v>390</v>
      </c>
      <c r="B154" s="53">
        <v>45908</v>
      </c>
      <c r="C154" s="3" t="s">
        <v>187</v>
      </c>
      <c r="D154" s="5" t="s">
        <v>164</v>
      </c>
      <c r="E154" s="38" t="s">
        <v>118</v>
      </c>
      <c r="F154" s="20">
        <v>20720645</v>
      </c>
      <c r="G154" s="8" t="s">
        <v>31</v>
      </c>
      <c r="H154" s="56" t="s">
        <v>351</v>
      </c>
    </row>
    <row r="155" spans="1:8" ht="16" x14ac:dyDescent="0.2">
      <c r="A155" s="2">
        <v>391</v>
      </c>
      <c r="B155" s="53">
        <v>45909</v>
      </c>
      <c r="C155" s="3" t="s">
        <v>200</v>
      </c>
      <c r="D155" s="5" t="s">
        <v>164</v>
      </c>
      <c r="E155" s="38" t="s">
        <v>352</v>
      </c>
      <c r="F155" s="57">
        <v>4510</v>
      </c>
      <c r="G155" s="8" t="s">
        <v>31</v>
      </c>
      <c r="H155" s="56" t="s">
        <v>348</v>
      </c>
    </row>
    <row r="156" spans="1:8" ht="16" x14ac:dyDescent="0.2">
      <c r="A156" s="2">
        <v>392</v>
      </c>
      <c r="B156" s="53">
        <v>45910</v>
      </c>
      <c r="C156" s="3" t="s">
        <v>353</v>
      </c>
      <c r="D156" s="5" t="s">
        <v>164</v>
      </c>
      <c r="E156" s="38" t="s">
        <v>354</v>
      </c>
      <c r="F156" s="57">
        <v>374595</v>
      </c>
      <c r="G156" s="8" t="s">
        <v>31</v>
      </c>
      <c r="H156" s="56" t="s">
        <v>158</v>
      </c>
    </row>
    <row r="157" spans="1:8" ht="16" x14ac:dyDescent="0.2">
      <c r="A157" s="2">
        <v>393</v>
      </c>
      <c r="B157" s="37">
        <v>45910</v>
      </c>
      <c r="C157" s="3" t="s">
        <v>353</v>
      </c>
      <c r="D157" s="5" t="s">
        <v>164</v>
      </c>
      <c r="E157" s="38" t="s">
        <v>355</v>
      </c>
      <c r="F157" s="57">
        <v>155000</v>
      </c>
      <c r="G157" s="8" t="s">
        <v>31</v>
      </c>
      <c r="H157" s="56" t="s">
        <v>356</v>
      </c>
    </row>
    <row r="158" spans="1:8" ht="16" x14ac:dyDescent="0.2">
      <c r="A158" s="2">
        <v>394</v>
      </c>
      <c r="B158" s="53">
        <v>45911</v>
      </c>
      <c r="C158" s="3" t="s">
        <v>81</v>
      </c>
      <c r="D158" s="5" t="s">
        <v>164</v>
      </c>
      <c r="E158" s="38" t="s">
        <v>357</v>
      </c>
      <c r="F158" s="20"/>
      <c r="G158" s="8" t="s">
        <v>36</v>
      </c>
      <c r="H158" s="56" t="s">
        <v>357</v>
      </c>
    </row>
    <row r="159" spans="1:8" ht="16" x14ac:dyDescent="0.2">
      <c r="A159" s="2">
        <v>395</v>
      </c>
      <c r="B159" s="53">
        <v>45915</v>
      </c>
      <c r="C159" s="3" t="s">
        <v>358</v>
      </c>
      <c r="D159" s="5" t="s">
        <v>359</v>
      </c>
      <c r="E159" s="38" t="s">
        <v>158</v>
      </c>
      <c r="F159" s="20"/>
      <c r="G159" s="8" t="s">
        <v>36</v>
      </c>
      <c r="H159" s="56" t="s">
        <v>360</v>
      </c>
    </row>
    <row r="160" spans="1:8" ht="16" x14ac:dyDescent="0.2">
      <c r="A160" s="2">
        <v>396</v>
      </c>
      <c r="B160" s="53">
        <v>45917</v>
      </c>
      <c r="C160" s="3" t="s">
        <v>361</v>
      </c>
      <c r="D160" s="5" t="s">
        <v>164</v>
      </c>
      <c r="E160" s="38" t="s">
        <v>362</v>
      </c>
      <c r="F160" s="20">
        <v>14097201</v>
      </c>
      <c r="G160" s="8" t="s">
        <v>31</v>
      </c>
      <c r="H160" s="56" t="s">
        <v>363</v>
      </c>
    </row>
    <row r="161" spans="1:8" ht="16" x14ac:dyDescent="0.2">
      <c r="A161" s="2">
        <v>397</v>
      </c>
      <c r="B161" s="53">
        <v>45919</v>
      </c>
      <c r="C161" s="3" t="s">
        <v>59</v>
      </c>
      <c r="D161" s="5" t="s">
        <v>50</v>
      </c>
      <c r="E161" s="38" t="s">
        <v>364</v>
      </c>
      <c r="F161" s="57">
        <v>75392</v>
      </c>
      <c r="G161" s="8" t="s">
        <v>31</v>
      </c>
      <c r="H161" s="56" t="s">
        <v>365</v>
      </c>
    </row>
    <row r="162" spans="1:8" ht="16" x14ac:dyDescent="0.2">
      <c r="A162" s="2">
        <v>398</v>
      </c>
      <c r="B162" s="53">
        <v>45924</v>
      </c>
      <c r="C162" s="3" t="s">
        <v>359</v>
      </c>
      <c r="D162" s="5" t="s">
        <v>164</v>
      </c>
      <c r="E162" s="38" t="s">
        <v>366</v>
      </c>
      <c r="F162" s="57">
        <v>4335.43</v>
      </c>
      <c r="G162" s="8" t="s">
        <v>31</v>
      </c>
      <c r="H162" s="56" t="s">
        <v>367</v>
      </c>
    </row>
    <row r="163" spans="1:8" ht="16" x14ac:dyDescent="0.2">
      <c r="A163" s="2">
        <v>399</v>
      </c>
      <c r="B163" s="53">
        <v>45930</v>
      </c>
      <c r="C163" s="3" t="s">
        <v>269</v>
      </c>
      <c r="D163" s="5" t="s">
        <v>146</v>
      </c>
      <c r="E163" s="38" t="s">
        <v>368</v>
      </c>
      <c r="F163" s="20">
        <v>394763</v>
      </c>
      <c r="G163" s="8" t="s">
        <v>17</v>
      </c>
      <c r="H163" s="56" t="s">
        <v>368</v>
      </c>
    </row>
    <row r="164" spans="1:8" ht="15" x14ac:dyDescent="0.2">
      <c r="A164" s="2">
        <v>400</v>
      </c>
      <c r="B164" s="37">
        <v>45932</v>
      </c>
      <c r="C164" s="3" t="s">
        <v>369</v>
      </c>
      <c r="D164" s="5" t="s">
        <v>164</v>
      </c>
      <c r="E164" s="38" t="s">
        <v>370</v>
      </c>
      <c r="F164" s="58">
        <v>12119</v>
      </c>
      <c r="G164" s="8" t="s">
        <v>31</v>
      </c>
      <c r="H164" s="56" t="s">
        <v>371</v>
      </c>
    </row>
    <row r="165" spans="1:8" ht="15" x14ac:dyDescent="0.2">
      <c r="A165" s="2">
        <v>401</v>
      </c>
      <c r="B165" s="37">
        <v>45938</v>
      </c>
      <c r="C165" s="3" t="s">
        <v>372</v>
      </c>
      <c r="D165" s="5" t="s">
        <v>164</v>
      </c>
      <c r="E165" s="38" t="s">
        <v>373</v>
      </c>
      <c r="F165" s="58">
        <v>5431</v>
      </c>
      <c r="G165" s="8" t="s">
        <v>31</v>
      </c>
      <c r="H165" s="56" t="s">
        <v>374</v>
      </c>
    </row>
    <row r="166" spans="1:8" ht="15" x14ac:dyDescent="0.2">
      <c r="A166" s="2">
        <v>402</v>
      </c>
      <c r="B166" s="37">
        <v>45944</v>
      </c>
      <c r="C166" s="3" t="s">
        <v>375</v>
      </c>
      <c r="D166" s="5" t="s">
        <v>164</v>
      </c>
      <c r="E166" s="38" t="s">
        <v>376</v>
      </c>
      <c r="F166" s="58">
        <v>10018</v>
      </c>
      <c r="G166" s="8" t="s">
        <v>31</v>
      </c>
      <c r="H166" s="56" t="s">
        <v>377</v>
      </c>
    </row>
    <row r="167" spans="1:8" ht="15" x14ac:dyDescent="0.2">
      <c r="A167" s="2">
        <v>403</v>
      </c>
      <c r="B167" s="37">
        <v>45950</v>
      </c>
      <c r="C167" s="3" t="s">
        <v>59</v>
      </c>
      <c r="D167" s="5" t="s">
        <v>164</v>
      </c>
      <c r="E167" s="38" t="s">
        <v>378</v>
      </c>
      <c r="F167" s="38">
        <v>52587</v>
      </c>
      <c r="G167" s="8" t="s">
        <v>31</v>
      </c>
      <c r="H167" s="56" t="s">
        <v>379</v>
      </c>
    </row>
    <row r="168" spans="1:8" ht="15" x14ac:dyDescent="0.2">
      <c r="A168" s="2">
        <v>404</v>
      </c>
      <c r="B168" s="37">
        <v>45951</v>
      </c>
      <c r="C168" s="3" t="s">
        <v>59</v>
      </c>
      <c r="D168" s="5" t="s">
        <v>164</v>
      </c>
      <c r="E168" s="38" t="s">
        <v>263</v>
      </c>
      <c r="F168" s="58">
        <v>3300</v>
      </c>
      <c r="G168" s="8" t="s">
        <v>17</v>
      </c>
      <c r="H168" s="56" t="s">
        <v>380</v>
      </c>
    </row>
    <row r="169" spans="1:8" ht="15" x14ac:dyDescent="0.2">
      <c r="A169" s="2">
        <v>405</v>
      </c>
      <c r="B169" s="37">
        <v>45954</v>
      </c>
      <c r="C169" s="3" t="s">
        <v>381</v>
      </c>
      <c r="D169" s="5" t="s">
        <v>164</v>
      </c>
      <c r="E169" s="38" t="s">
        <v>240</v>
      </c>
      <c r="F169" s="58">
        <v>4908</v>
      </c>
      <c r="G169" s="8" t="s">
        <v>31</v>
      </c>
      <c r="H169" s="56" t="s">
        <v>241</v>
      </c>
    </row>
    <row r="170" spans="1:8" ht="15" x14ac:dyDescent="0.2">
      <c r="A170" s="2">
        <v>406</v>
      </c>
      <c r="B170" s="37">
        <v>45964</v>
      </c>
      <c r="C170" s="3" t="s">
        <v>382</v>
      </c>
      <c r="D170" s="5" t="s">
        <v>50</v>
      </c>
      <c r="E170" s="38" t="s">
        <v>383</v>
      </c>
      <c r="F170" s="58">
        <v>55666</v>
      </c>
      <c r="G170" s="8" t="s">
        <v>31</v>
      </c>
      <c r="H170" s="56" t="s">
        <v>384</v>
      </c>
    </row>
    <row r="171" spans="1:8" ht="15" x14ac:dyDescent="0.2">
      <c r="A171" s="2">
        <v>407</v>
      </c>
      <c r="B171" s="37">
        <v>45964</v>
      </c>
      <c r="C171" s="3" t="s">
        <v>76</v>
      </c>
      <c r="D171" s="5" t="s">
        <v>53</v>
      </c>
      <c r="E171" s="38" t="s">
        <v>385</v>
      </c>
      <c r="F171" s="58">
        <v>724608</v>
      </c>
      <c r="G171" s="8" t="s">
        <v>17</v>
      </c>
      <c r="H171" s="56" t="s">
        <v>386</v>
      </c>
    </row>
    <row r="172" spans="1:8" ht="15" x14ac:dyDescent="0.2">
      <c r="A172" s="2">
        <v>408</v>
      </c>
      <c r="B172" s="37">
        <v>45966</v>
      </c>
      <c r="C172" s="3" t="s">
        <v>387</v>
      </c>
      <c r="D172" s="5" t="s">
        <v>164</v>
      </c>
      <c r="E172" s="38" t="s">
        <v>261</v>
      </c>
      <c r="F172" s="58">
        <v>18203</v>
      </c>
      <c r="G172" s="8" t="s">
        <v>31</v>
      </c>
      <c r="H172" s="56" t="s">
        <v>261</v>
      </c>
    </row>
    <row r="173" spans="1:8" ht="15" x14ac:dyDescent="0.2">
      <c r="A173" s="2">
        <v>409</v>
      </c>
      <c r="B173" s="37">
        <v>45973</v>
      </c>
      <c r="C173" s="3" t="s">
        <v>59</v>
      </c>
      <c r="D173" s="5" t="s">
        <v>230</v>
      </c>
      <c r="E173" s="38" t="s">
        <v>388</v>
      </c>
      <c r="F173" s="58">
        <v>10420</v>
      </c>
      <c r="G173" s="8" t="s">
        <v>31</v>
      </c>
      <c r="H173" s="56" t="s">
        <v>114</v>
      </c>
    </row>
    <row r="174" spans="1:8" ht="15" x14ac:dyDescent="0.2">
      <c r="A174" s="2">
        <v>410</v>
      </c>
      <c r="B174" s="37">
        <v>45988</v>
      </c>
      <c r="C174" s="3" t="s">
        <v>372</v>
      </c>
      <c r="D174" s="5" t="s">
        <v>164</v>
      </c>
      <c r="E174" s="38" t="s">
        <v>373</v>
      </c>
      <c r="F174" s="58">
        <v>2904</v>
      </c>
      <c r="G174" s="8" t="s">
        <v>17</v>
      </c>
      <c r="H174" s="56" t="s">
        <v>373</v>
      </c>
    </row>
    <row r="175" spans="1:8" ht="15" x14ac:dyDescent="0.2">
      <c r="A175" s="2">
        <v>411</v>
      </c>
      <c r="B175" s="37">
        <v>45988</v>
      </c>
      <c r="C175" s="3" t="s">
        <v>389</v>
      </c>
      <c r="D175" s="5" t="s">
        <v>164</v>
      </c>
      <c r="E175" s="38" t="s">
        <v>240</v>
      </c>
      <c r="F175" s="58">
        <v>9559</v>
      </c>
      <c r="G175" s="8" t="s">
        <v>31</v>
      </c>
      <c r="H175" s="56" t="s">
        <v>241</v>
      </c>
    </row>
    <row r="176" spans="1:8" ht="15" x14ac:dyDescent="0.2">
      <c r="A176" s="2">
        <v>412</v>
      </c>
      <c r="B176" s="37">
        <v>45993</v>
      </c>
      <c r="C176" s="3" t="s">
        <v>59</v>
      </c>
      <c r="D176" s="5" t="s">
        <v>164</v>
      </c>
      <c r="E176" s="38" t="s">
        <v>236</v>
      </c>
      <c r="F176" s="58"/>
      <c r="G176" s="8" t="s">
        <v>31</v>
      </c>
      <c r="H176" s="56"/>
    </row>
    <row r="177" spans="1:8" ht="15" x14ac:dyDescent="0.2">
      <c r="A177" s="2">
        <v>413</v>
      </c>
      <c r="B177" s="37">
        <v>46000</v>
      </c>
      <c r="C177" s="3" t="s">
        <v>390</v>
      </c>
      <c r="D177" s="5" t="s">
        <v>53</v>
      </c>
      <c r="E177" s="38" t="s">
        <v>391</v>
      </c>
      <c r="F177" s="58">
        <v>5632</v>
      </c>
      <c r="G177" s="8" t="s">
        <v>31</v>
      </c>
      <c r="H177" s="56" t="s">
        <v>392</v>
      </c>
    </row>
    <row r="178" spans="1:8" ht="15" x14ac:dyDescent="0.2">
      <c r="A178" s="2">
        <v>414</v>
      </c>
      <c r="B178" s="37">
        <v>46006</v>
      </c>
      <c r="C178" s="3" t="s">
        <v>393</v>
      </c>
      <c r="D178" s="5" t="s">
        <v>53</v>
      </c>
      <c r="E178" s="38" t="s">
        <v>144</v>
      </c>
      <c r="F178" s="58">
        <v>12954</v>
      </c>
      <c r="G178" s="8" t="s">
        <v>31</v>
      </c>
      <c r="H178" s="56" t="s">
        <v>394</v>
      </c>
    </row>
    <row r="179" spans="1:8" ht="15" x14ac:dyDescent="0.2">
      <c r="A179" s="2"/>
      <c r="B179" s="5"/>
      <c r="C179" s="3"/>
      <c r="D179" s="5"/>
      <c r="E179" s="38"/>
      <c r="F179" s="58"/>
      <c r="G179" s="8" t="s">
        <v>36</v>
      </c>
      <c r="H179" s="56"/>
    </row>
    <row r="180" spans="1:8" ht="15" x14ac:dyDescent="0.2">
      <c r="A180" s="2"/>
      <c r="B180" s="5"/>
      <c r="C180" s="3"/>
      <c r="D180" s="5"/>
      <c r="E180" s="38"/>
      <c r="F180" s="58"/>
      <c r="G180" s="8" t="s">
        <v>36</v>
      </c>
      <c r="H180" s="56"/>
    </row>
    <row r="181" spans="1:8" ht="15" x14ac:dyDescent="0.2">
      <c r="A181" s="2"/>
      <c r="B181" s="5"/>
      <c r="C181" s="3"/>
      <c r="D181" s="5"/>
      <c r="E181" s="38"/>
      <c r="F181" s="58"/>
      <c r="G181" s="8" t="s">
        <v>36</v>
      </c>
      <c r="H181" s="56"/>
    </row>
    <row r="182" spans="1:8" ht="15" x14ac:dyDescent="0.2">
      <c r="A182" s="2"/>
      <c r="B182" s="5"/>
      <c r="C182" s="3"/>
      <c r="D182" s="5"/>
      <c r="E182" s="38"/>
      <c r="F182" s="58"/>
      <c r="G182" s="8" t="s">
        <v>36</v>
      </c>
      <c r="H182" s="56"/>
    </row>
    <row r="183" spans="1:8" ht="15" x14ac:dyDescent="0.2">
      <c r="A183" s="2"/>
      <c r="B183" s="3"/>
      <c r="C183" s="3"/>
      <c r="D183" s="5"/>
      <c r="E183" s="38"/>
      <c r="F183" s="58"/>
      <c r="G183" s="8" t="s">
        <v>36</v>
      </c>
      <c r="H183" s="56"/>
    </row>
    <row r="184" spans="1:8" ht="15" x14ac:dyDescent="0.2">
      <c r="A184" s="2"/>
      <c r="B184" s="3"/>
      <c r="C184" s="3"/>
      <c r="D184" s="5"/>
      <c r="E184" s="38"/>
      <c r="F184" s="58"/>
      <c r="G184" s="8" t="s">
        <v>36</v>
      </c>
      <c r="H184" s="56"/>
    </row>
    <row r="185" spans="1:8" ht="15" x14ac:dyDescent="0.2">
      <c r="A185" s="2"/>
      <c r="B185" s="3"/>
      <c r="C185" s="3"/>
      <c r="D185" s="5"/>
      <c r="E185" s="38"/>
      <c r="F185" s="58"/>
      <c r="G185" s="8" t="s">
        <v>36</v>
      </c>
      <c r="H185" s="56"/>
    </row>
    <row r="186" spans="1:8" ht="15" x14ac:dyDescent="0.2">
      <c r="A186" s="2"/>
      <c r="B186" s="3"/>
      <c r="C186" s="3"/>
      <c r="D186" s="5"/>
      <c r="E186" s="38"/>
      <c r="F186" s="58"/>
      <c r="G186" s="8" t="s">
        <v>36</v>
      </c>
      <c r="H186" s="56"/>
    </row>
    <row r="187" spans="1:8" ht="15" x14ac:dyDescent="0.2">
      <c r="A187" s="2"/>
      <c r="B187" s="3"/>
      <c r="C187" s="3"/>
      <c r="D187" s="5"/>
      <c r="E187" s="38"/>
      <c r="F187" s="58"/>
      <c r="G187" s="8" t="s">
        <v>36</v>
      </c>
      <c r="H187" s="56"/>
    </row>
    <row r="188" spans="1:8" ht="15" x14ac:dyDescent="0.2">
      <c r="A188" s="2"/>
      <c r="B188" s="3"/>
      <c r="C188" s="3"/>
      <c r="D188" s="5"/>
      <c r="E188" s="38"/>
      <c r="F188" s="58"/>
      <c r="G188" s="8" t="s">
        <v>36</v>
      </c>
      <c r="H188" s="56"/>
    </row>
    <row r="189" spans="1:8" ht="15" x14ac:dyDescent="0.2">
      <c r="A189" s="2"/>
      <c r="B189" s="3"/>
      <c r="C189" s="3"/>
      <c r="D189" s="5"/>
      <c r="E189" s="38"/>
      <c r="F189" s="58"/>
      <c r="G189" s="8" t="s">
        <v>36</v>
      </c>
      <c r="H189" s="56"/>
    </row>
    <row r="190" spans="1:8" ht="15" x14ac:dyDescent="0.2">
      <c r="A190" s="2"/>
      <c r="B190" s="3"/>
      <c r="C190" s="3"/>
      <c r="D190" s="2"/>
      <c r="E190" s="38"/>
      <c r="F190" s="58"/>
      <c r="G190" s="8" t="s">
        <v>36</v>
      </c>
      <c r="H190" s="56"/>
    </row>
    <row r="191" spans="1:8" ht="15" x14ac:dyDescent="0.2">
      <c r="A191" s="2"/>
      <c r="B191" s="3"/>
      <c r="C191" s="3"/>
      <c r="D191" s="2"/>
      <c r="E191" s="38"/>
      <c r="F191" s="58"/>
      <c r="G191" s="8" t="s">
        <v>36</v>
      </c>
      <c r="H191" s="56"/>
    </row>
    <row r="192" spans="1:8" ht="15" x14ac:dyDescent="0.2">
      <c r="A192" s="2"/>
      <c r="B192" s="3"/>
      <c r="C192" s="3"/>
      <c r="D192" s="2"/>
      <c r="E192" s="38"/>
      <c r="F192" s="58"/>
      <c r="G192" s="8" t="s">
        <v>36</v>
      </c>
      <c r="H192" s="56"/>
    </row>
    <row r="193" spans="1:8" ht="15" x14ac:dyDescent="0.2">
      <c r="A193" s="2"/>
      <c r="B193" s="3"/>
      <c r="C193" s="3"/>
      <c r="D193" s="2"/>
      <c r="E193" s="38"/>
      <c r="F193" s="58"/>
      <c r="G193" s="8" t="s">
        <v>36</v>
      </c>
      <c r="H193" s="56"/>
    </row>
    <row r="194" spans="1:8" ht="15" x14ac:dyDescent="0.2">
      <c r="A194" s="2"/>
      <c r="B194" s="3"/>
      <c r="C194" s="3"/>
      <c r="D194" s="2"/>
      <c r="E194" s="38"/>
      <c r="F194" s="58"/>
      <c r="G194" s="8" t="s">
        <v>36</v>
      </c>
      <c r="H194" s="56"/>
    </row>
    <row r="195" spans="1:8" ht="15" x14ac:dyDescent="0.2">
      <c r="A195" s="2"/>
      <c r="B195" s="3"/>
      <c r="C195" s="3"/>
      <c r="D195" s="2"/>
      <c r="E195" s="38"/>
      <c r="F195" s="58"/>
      <c r="G195" s="8" t="s">
        <v>36</v>
      </c>
      <c r="H195" s="56"/>
    </row>
    <row r="196" spans="1:8" ht="15" x14ac:dyDescent="0.2">
      <c r="A196" s="2"/>
      <c r="B196" s="3"/>
      <c r="C196" s="3"/>
      <c r="D196" s="2"/>
      <c r="E196" s="38"/>
      <c r="F196" s="58"/>
      <c r="G196" s="8" t="s">
        <v>36</v>
      </c>
      <c r="H196" s="56"/>
    </row>
    <row r="197" spans="1:8" ht="15" x14ac:dyDescent="0.2">
      <c r="A197" s="2"/>
      <c r="B197" s="3"/>
      <c r="C197" s="3"/>
      <c r="D197" s="2"/>
      <c r="E197" s="38"/>
      <c r="F197" s="58"/>
      <c r="G197" s="8" t="s">
        <v>36</v>
      </c>
      <c r="H197" s="56"/>
    </row>
    <row r="198" spans="1:8" ht="15" x14ac:dyDescent="0.2">
      <c r="A198" s="2"/>
      <c r="B198" s="3"/>
      <c r="C198" s="3"/>
      <c r="D198" s="2"/>
      <c r="E198" s="19"/>
      <c r="F198" s="58"/>
      <c r="G198" s="8" t="s">
        <v>36</v>
      </c>
      <c r="H198" s="56"/>
    </row>
    <row r="199" spans="1:8" ht="15" x14ac:dyDescent="0.2">
      <c r="A199" s="2"/>
      <c r="B199" s="3"/>
      <c r="C199" s="3"/>
      <c r="D199" s="2"/>
      <c r="E199" s="19"/>
      <c r="F199" s="58"/>
      <c r="G199" s="8" t="s">
        <v>36</v>
      </c>
      <c r="H199" s="56"/>
    </row>
    <row r="200" spans="1:8" ht="15" x14ac:dyDescent="0.2">
      <c r="A200" s="2"/>
      <c r="B200" s="3"/>
      <c r="C200" s="3"/>
      <c r="D200" s="2"/>
      <c r="E200" s="19"/>
      <c r="F200" s="58"/>
      <c r="G200" s="8" t="s">
        <v>36</v>
      </c>
      <c r="H200" s="56"/>
    </row>
    <row r="201" spans="1:8" ht="15" x14ac:dyDescent="0.2">
      <c r="A201" s="2"/>
      <c r="B201" s="3"/>
      <c r="C201" s="3"/>
      <c r="D201" s="2"/>
      <c r="E201" s="19"/>
      <c r="F201" s="58"/>
      <c r="G201" s="8" t="s">
        <v>36</v>
      </c>
      <c r="H201" s="56"/>
    </row>
    <row r="202" spans="1:8" ht="15" x14ac:dyDescent="0.2">
      <c r="A202" s="2"/>
      <c r="B202" s="3"/>
      <c r="C202" s="3"/>
      <c r="D202" s="2"/>
      <c r="E202" s="19"/>
      <c r="F202" s="58"/>
      <c r="G202" s="8" t="s">
        <v>36</v>
      </c>
      <c r="H202" s="56"/>
    </row>
    <row r="203" spans="1:8" ht="15" x14ac:dyDescent="0.2">
      <c r="A203" s="2"/>
      <c r="B203" s="3"/>
      <c r="C203" s="3"/>
      <c r="D203" s="2"/>
      <c r="E203" s="19"/>
      <c r="F203" s="58"/>
      <c r="G203" s="8" t="s">
        <v>36</v>
      </c>
      <c r="H203" s="56"/>
    </row>
    <row r="204" spans="1:8" ht="15" x14ac:dyDescent="0.2">
      <c r="A204" s="2"/>
      <c r="B204" s="3"/>
      <c r="C204" s="3"/>
      <c r="D204" s="2"/>
      <c r="E204" s="19"/>
      <c r="F204" s="58"/>
      <c r="G204" s="8" t="s">
        <v>36</v>
      </c>
      <c r="H204" s="56"/>
    </row>
    <row r="205" spans="1:8" ht="15" x14ac:dyDescent="0.2">
      <c r="A205" s="2"/>
      <c r="B205" s="3"/>
      <c r="C205" s="3"/>
      <c r="D205" s="2"/>
      <c r="E205" s="19"/>
      <c r="F205" s="58"/>
      <c r="G205" s="8" t="s">
        <v>36</v>
      </c>
      <c r="H205" s="56"/>
    </row>
    <row r="206" spans="1:8" ht="15" x14ac:dyDescent="0.2">
      <c r="A206" s="2"/>
      <c r="B206" s="3"/>
      <c r="C206" s="3"/>
      <c r="D206" s="2"/>
      <c r="E206" s="19"/>
      <c r="F206" s="58"/>
      <c r="G206" s="8" t="s">
        <v>36</v>
      </c>
      <c r="H206" s="56"/>
    </row>
    <row r="207" spans="1:8" ht="15" x14ac:dyDescent="0.2">
      <c r="A207" s="2"/>
      <c r="B207" s="3"/>
      <c r="C207" s="3"/>
      <c r="D207" s="2"/>
      <c r="E207" s="19"/>
      <c r="F207" s="58"/>
      <c r="G207" s="8" t="s">
        <v>36</v>
      </c>
      <c r="H207" s="56"/>
    </row>
    <row r="208" spans="1:8" ht="15" x14ac:dyDescent="0.2">
      <c r="A208" s="2"/>
      <c r="B208" s="3"/>
      <c r="C208" s="3"/>
      <c r="D208" s="2"/>
      <c r="E208" s="19"/>
      <c r="F208" s="58"/>
      <c r="G208" s="8" t="s">
        <v>36</v>
      </c>
      <c r="H208" s="56"/>
    </row>
    <row r="209" spans="1:8" ht="15" x14ac:dyDescent="0.2">
      <c r="A209" s="2"/>
      <c r="B209" s="3"/>
      <c r="C209" s="3"/>
      <c r="D209" s="2"/>
      <c r="E209" s="19"/>
      <c r="F209" s="58"/>
      <c r="G209" s="8" t="s">
        <v>36</v>
      </c>
      <c r="H209" s="56"/>
    </row>
    <row r="210" spans="1:8" ht="15" x14ac:dyDescent="0.2">
      <c r="A210" s="2"/>
      <c r="B210" s="3"/>
      <c r="C210" s="3"/>
      <c r="D210" s="2"/>
      <c r="E210" s="19"/>
      <c r="F210" s="58"/>
      <c r="G210" s="8" t="s">
        <v>36</v>
      </c>
      <c r="H210" s="56"/>
    </row>
    <row r="211" spans="1:8" ht="15" x14ac:dyDescent="0.2">
      <c r="A211" s="2"/>
      <c r="B211" s="3"/>
      <c r="C211" s="3"/>
      <c r="D211" s="2"/>
      <c r="E211" s="19"/>
      <c r="F211" s="58"/>
      <c r="G211" s="8" t="s">
        <v>36</v>
      </c>
      <c r="H211" s="56"/>
    </row>
    <row r="212" spans="1:8" ht="15" x14ac:dyDescent="0.2">
      <c r="A212" s="2"/>
      <c r="B212" s="3"/>
      <c r="C212" s="3"/>
      <c r="D212" s="2"/>
      <c r="E212" s="19"/>
      <c r="F212" s="58"/>
      <c r="G212" s="8" t="s">
        <v>36</v>
      </c>
      <c r="H212" s="56"/>
    </row>
    <row r="213" spans="1:8" ht="15" x14ac:dyDescent="0.2">
      <c r="A213" s="2"/>
      <c r="B213" s="3"/>
      <c r="C213" s="3"/>
      <c r="D213" s="2"/>
      <c r="E213" s="19"/>
      <c r="F213" s="58"/>
      <c r="G213" s="8" t="s">
        <v>36</v>
      </c>
      <c r="H213" s="56"/>
    </row>
    <row r="214" spans="1:8" ht="15" x14ac:dyDescent="0.2">
      <c r="A214" s="2"/>
      <c r="B214" s="3"/>
      <c r="C214" s="3"/>
      <c r="D214" s="2"/>
      <c r="E214" s="19"/>
      <c r="F214" s="58"/>
      <c r="G214" s="8" t="s">
        <v>36</v>
      </c>
      <c r="H214" s="56"/>
    </row>
    <row r="215" spans="1:8" ht="15" x14ac:dyDescent="0.2">
      <c r="A215" s="2"/>
      <c r="B215" s="3"/>
      <c r="C215" s="3"/>
      <c r="D215" s="2"/>
      <c r="E215" s="19"/>
      <c r="F215" s="58"/>
      <c r="G215" s="8" t="s">
        <v>36</v>
      </c>
      <c r="H215" s="56"/>
    </row>
    <row r="216" spans="1:8" ht="15" x14ac:dyDescent="0.2">
      <c r="A216" s="2"/>
      <c r="B216" s="3"/>
      <c r="C216" s="3"/>
      <c r="D216" s="2"/>
      <c r="E216" s="19"/>
      <c r="F216" s="58"/>
      <c r="G216" s="8" t="s">
        <v>36</v>
      </c>
      <c r="H216" s="56"/>
    </row>
    <row r="217" spans="1:8" ht="15" x14ac:dyDescent="0.2">
      <c r="A217" s="2"/>
      <c r="B217" s="3"/>
      <c r="C217" s="3"/>
      <c r="D217" s="2"/>
      <c r="E217" s="19"/>
      <c r="F217" s="58"/>
      <c r="G217" s="8" t="s">
        <v>36</v>
      </c>
      <c r="H217" s="56"/>
    </row>
    <row r="218" spans="1:8" ht="15" x14ac:dyDescent="0.2">
      <c r="A218" s="2"/>
      <c r="B218" s="3"/>
      <c r="C218" s="3"/>
      <c r="D218" s="2"/>
      <c r="E218" s="19"/>
      <c r="F218" s="58"/>
      <c r="G218" s="8" t="s">
        <v>36</v>
      </c>
      <c r="H218" s="56"/>
    </row>
    <row r="219" spans="1:8" ht="15" x14ac:dyDescent="0.2">
      <c r="A219" s="2"/>
      <c r="B219" s="3"/>
      <c r="C219" s="3"/>
      <c r="D219" s="2"/>
      <c r="E219" s="19"/>
      <c r="F219" s="58"/>
      <c r="G219" s="8" t="s">
        <v>36</v>
      </c>
      <c r="H219" s="56"/>
    </row>
    <row r="220" spans="1:8" ht="15" x14ac:dyDescent="0.2">
      <c r="A220" s="2"/>
      <c r="B220" s="3"/>
      <c r="C220" s="3"/>
      <c r="D220" s="2"/>
      <c r="E220" s="19"/>
      <c r="F220" s="58"/>
      <c r="G220" s="8" t="s">
        <v>36</v>
      </c>
      <c r="H220" s="56"/>
    </row>
    <row r="221" spans="1:8" ht="15" x14ac:dyDescent="0.2">
      <c r="A221" s="2"/>
      <c r="B221" s="3"/>
      <c r="C221" s="3"/>
      <c r="D221" s="2"/>
      <c r="E221" s="19"/>
      <c r="F221" s="58"/>
      <c r="G221" s="8" t="s">
        <v>36</v>
      </c>
      <c r="H221" s="56"/>
    </row>
    <row r="222" spans="1:8" ht="15" x14ac:dyDescent="0.2">
      <c r="A222" s="2"/>
      <c r="B222" s="3"/>
      <c r="C222" s="3"/>
      <c r="D222" s="2"/>
      <c r="E222" s="19"/>
      <c r="F222" s="58"/>
      <c r="G222" s="8" t="s">
        <v>36</v>
      </c>
      <c r="H222" s="56"/>
    </row>
    <row r="223" spans="1:8" ht="13" x14ac:dyDescent="0.15">
      <c r="A223" s="59"/>
    </row>
    <row r="224" spans="1:8" ht="13" x14ac:dyDescent="0.15">
      <c r="A224" s="59"/>
    </row>
    <row r="225" spans="1:1" ht="13" x14ac:dyDescent="0.15">
      <c r="A225" s="59"/>
    </row>
    <row r="226" spans="1:1" ht="13" x14ac:dyDescent="0.15">
      <c r="A226" s="59"/>
    </row>
    <row r="227" spans="1:1" ht="13" x14ac:dyDescent="0.15">
      <c r="A227" s="59"/>
    </row>
    <row r="228" spans="1:1" ht="13" x14ac:dyDescent="0.15">
      <c r="A228" s="59"/>
    </row>
    <row r="229" spans="1:1" ht="13" x14ac:dyDescent="0.15">
      <c r="A229" s="59"/>
    </row>
    <row r="230" spans="1:1" ht="13" x14ac:dyDescent="0.15">
      <c r="A230" s="59"/>
    </row>
    <row r="231" spans="1:1" ht="13" x14ac:dyDescent="0.15">
      <c r="A231" s="59"/>
    </row>
    <row r="232" spans="1:1" ht="13" x14ac:dyDescent="0.15">
      <c r="A232" s="59"/>
    </row>
    <row r="233" spans="1:1" ht="13" x14ac:dyDescent="0.15">
      <c r="A233" s="59"/>
    </row>
    <row r="234" spans="1:1" ht="13" x14ac:dyDescent="0.15">
      <c r="A234" s="59"/>
    </row>
    <row r="235" spans="1:1" ht="13" x14ac:dyDescent="0.15">
      <c r="A235" s="59"/>
    </row>
    <row r="236" spans="1:1" ht="13" x14ac:dyDescent="0.15">
      <c r="A236" s="59"/>
    </row>
    <row r="237" spans="1:1" ht="13" x14ac:dyDescent="0.15">
      <c r="A237" s="59"/>
    </row>
    <row r="238" spans="1:1" ht="13" x14ac:dyDescent="0.15">
      <c r="A238" s="59"/>
    </row>
    <row r="239" spans="1:1" ht="13" x14ac:dyDescent="0.15">
      <c r="A239" s="59"/>
    </row>
    <row r="240" spans="1:1" ht="13" x14ac:dyDescent="0.15">
      <c r="A240" s="59"/>
    </row>
    <row r="241" spans="1:1" ht="13" x14ac:dyDescent="0.15">
      <c r="A241" s="59"/>
    </row>
    <row r="242" spans="1:1" ht="13" x14ac:dyDescent="0.15">
      <c r="A242" s="59"/>
    </row>
    <row r="243" spans="1:1" ht="13" x14ac:dyDescent="0.15">
      <c r="A243" s="59"/>
    </row>
    <row r="244" spans="1:1" ht="13" x14ac:dyDescent="0.15">
      <c r="A244" s="59"/>
    </row>
    <row r="245" spans="1:1" ht="13" x14ac:dyDescent="0.15">
      <c r="A245" s="59"/>
    </row>
    <row r="246" spans="1:1" ht="13" x14ac:dyDescent="0.15">
      <c r="A246" s="59"/>
    </row>
    <row r="247" spans="1:1" ht="13" x14ac:dyDescent="0.15">
      <c r="A247" s="59"/>
    </row>
    <row r="248" spans="1:1" ht="13" x14ac:dyDescent="0.15">
      <c r="A248" s="59"/>
    </row>
    <row r="249" spans="1:1" ht="13" x14ac:dyDescent="0.15">
      <c r="A249" s="59"/>
    </row>
    <row r="250" spans="1:1" ht="13" x14ac:dyDescent="0.15">
      <c r="A250" s="59"/>
    </row>
    <row r="251" spans="1:1" ht="13" x14ac:dyDescent="0.15">
      <c r="A251" s="59"/>
    </row>
    <row r="252" spans="1:1" ht="13" x14ac:dyDescent="0.15">
      <c r="A252" s="59"/>
    </row>
    <row r="253" spans="1:1" ht="13" x14ac:dyDescent="0.15">
      <c r="A253" s="59"/>
    </row>
    <row r="254" spans="1:1" ht="13" x14ac:dyDescent="0.15">
      <c r="A254" s="59"/>
    </row>
    <row r="255" spans="1:1" ht="13" x14ac:dyDescent="0.15">
      <c r="A255" s="59"/>
    </row>
    <row r="256" spans="1:1" ht="13" x14ac:dyDescent="0.15">
      <c r="A256" s="59"/>
    </row>
    <row r="257" spans="1:1" ht="13" x14ac:dyDescent="0.15">
      <c r="A257" s="59"/>
    </row>
    <row r="258" spans="1:1" ht="13" x14ac:dyDescent="0.15">
      <c r="A258" s="59"/>
    </row>
    <row r="259" spans="1:1" ht="13" x14ac:dyDescent="0.15">
      <c r="A259" s="59"/>
    </row>
    <row r="260" spans="1:1" ht="13" x14ac:dyDescent="0.15">
      <c r="A260" s="59"/>
    </row>
    <row r="261" spans="1:1" ht="13" x14ac:dyDescent="0.15">
      <c r="A261" s="59"/>
    </row>
    <row r="262" spans="1:1" ht="13" x14ac:dyDescent="0.15">
      <c r="A262" s="59"/>
    </row>
    <row r="263" spans="1:1" ht="13" x14ac:dyDescent="0.15">
      <c r="A263" s="59"/>
    </row>
    <row r="264" spans="1:1" ht="13" x14ac:dyDescent="0.15">
      <c r="A264" s="59"/>
    </row>
    <row r="265" spans="1:1" ht="13" x14ac:dyDescent="0.15">
      <c r="A265" s="59"/>
    </row>
    <row r="266" spans="1:1" ht="13" x14ac:dyDescent="0.15">
      <c r="A266" s="59"/>
    </row>
    <row r="267" spans="1:1" ht="13" x14ac:dyDescent="0.15">
      <c r="A267" s="59"/>
    </row>
    <row r="268" spans="1:1" ht="13" x14ac:dyDescent="0.15">
      <c r="A268" s="59"/>
    </row>
    <row r="269" spans="1:1" ht="13" x14ac:dyDescent="0.15">
      <c r="A269" s="59"/>
    </row>
    <row r="270" spans="1:1" ht="13" x14ac:dyDescent="0.15">
      <c r="A270" s="59"/>
    </row>
    <row r="271" spans="1:1" ht="13" x14ac:dyDescent="0.15">
      <c r="A271" s="59"/>
    </row>
    <row r="272" spans="1:1" ht="13" x14ac:dyDescent="0.15">
      <c r="A272" s="59"/>
    </row>
    <row r="273" spans="1:1" ht="13" x14ac:dyDescent="0.15">
      <c r="A273" s="59"/>
    </row>
    <row r="274" spans="1:1" ht="13" x14ac:dyDescent="0.15">
      <c r="A274" s="59"/>
    </row>
    <row r="275" spans="1:1" ht="13" x14ac:dyDescent="0.15">
      <c r="A275" s="59"/>
    </row>
    <row r="276" spans="1:1" ht="13" x14ac:dyDescent="0.15">
      <c r="A276" s="59"/>
    </row>
    <row r="277" spans="1:1" ht="13" x14ac:dyDescent="0.15">
      <c r="A277" s="59"/>
    </row>
    <row r="278" spans="1:1" ht="13" x14ac:dyDescent="0.15">
      <c r="A278" s="59"/>
    </row>
    <row r="279" spans="1:1" ht="13" x14ac:dyDescent="0.15">
      <c r="A279" s="59"/>
    </row>
    <row r="280" spans="1:1" ht="13" x14ac:dyDescent="0.15">
      <c r="A280" s="59"/>
    </row>
    <row r="281" spans="1:1" ht="13" x14ac:dyDescent="0.15">
      <c r="A281" s="59"/>
    </row>
    <row r="282" spans="1:1" ht="13" x14ac:dyDescent="0.15">
      <c r="A282" s="59"/>
    </row>
    <row r="283" spans="1:1" ht="13" x14ac:dyDescent="0.15">
      <c r="A283" s="59"/>
    </row>
    <row r="284" spans="1:1" ht="13" x14ac:dyDescent="0.15">
      <c r="A284" s="59"/>
    </row>
    <row r="285" spans="1:1" ht="13" x14ac:dyDescent="0.15">
      <c r="A285" s="59"/>
    </row>
    <row r="286" spans="1:1" ht="13" x14ac:dyDescent="0.15">
      <c r="A286" s="59"/>
    </row>
    <row r="287" spans="1:1" ht="13" x14ac:dyDescent="0.15">
      <c r="A287" s="59"/>
    </row>
    <row r="288" spans="1:1" ht="13" x14ac:dyDescent="0.15">
      <c r="A288" s="59"/>
    </row>
    <row r="289" spans="1:1" ht="13" x14ac:dyDescent="0.15">
      <c r="A289" s="59"/>
    </row>
    <row r="290" spans="1:1" ht="13" x14ac:dyDescent="0.15">
      <c r="A290" s="59"/>
    </row>
    <row r="291" spans="1:1" ht="13" x14ac:dyDescent="0.15">
      <c r="A291" s="59"/>
    </row>
    <row r="292" spans="1:1" ht="13" x14ac:dyDescent="0.15">
      <c r="A292" s="59"/>
    </row>
    <row r="293" spans="1:1" ht="13" x14ac:dyDescent="0.15">
      <c r="A293" s="59"/>
    </row>
    <row r="294" spans="1:1" ht="13" x14ac:dyDescent="0.15">
      <c r="A294" s="59"/>
    </row>
    <row r="295" spans="1:1" ht="13" x14ac:dyDescent="0.15">
      <c r="A295" s="59"/>
    </row>
    <row r="296" spans="1:1" ht="13" x14ac:dyDescent="0.15">
      <c r="A296" s="59"/>
    </row>
    <row r="297" spans="1:1" ht="13" x14ac:dyDescent="0.15">
      <c r="A297" s="59"/>
    </row>
    <row r="298" spans="1:1" ht="13" x14ac:dyDescent="0.15">
      <c r="A298" s="59"/>
    </row>
    <row r="299" spans="1:1" ht="13" x14ac:dyDescent="0.15">
      <c r="A299" s="59"/>
    </row>
    <row r="300" spans="1:1" ht="13" x14ac:dyDescent="0.15">
      <c r="A300" s="59"/>
    </row>
    <row r="301" spans="1:1" ht="13" x14ac:dyDescent="0.15">
      <c r="A301" s="59"/>
    </row>
    <row r="302" spans="1:1" ht="13" x14ac:dyDescent="0.15">
      <c r="A302" s="59"/>
    </row>
    <row r="303" spans="1:1" ht="13" x14ac:dyDescent="0.15">
      <c r="A303" s="59"/>
    </row>
    <row r="304" spans="1:1" ht="13" x14ac:dyDescent="0.15">
      <c r="A304" s="59"/>
    </row>
    <row r="305" spans="1:1" ht="13" x14ac:dyDescent="0.15">
      <c r="A305" s="59"/>
    </row>
    <row r="306" spans="1:1" ht="13" x14ac:dyDescent="0.15">
      <c r="A306" s="59"/>
    </row>
    <row r="307" spans="1:1" ht="13" x14ac:dyDescent="0.15">
      <c r="A307" s="59"/>
    </row>
    <row r="308" spans="1:1" ht="13" x14ac:dyDescent="0.15">
      <c r="A308" s="59"/>
    </row>
    <row r="309" spans="1:1" ht="13" x14ac:dyDescent="0.15">
      <c r="A309" s="59"/>
    </row>
    <row r="310" spans="1:1" ht="13" x14ac:dyDescent="0.15">
      <c r="A310" s="59"/>
    </row>
    <row r="311" spans="1:1" ht="13" x14ac:dyDescent="0.15">
      <c r="A311" s="59"/>
    </row>
    <row r="312" spans="1:1" ht="13" x14ac:dyDescent="0.15">
      <c r="A312" s="59"/>
    </row>
    <row r="313" spans="1:1" ht="13" x14ac:dyDescent="0.15">
      <c r="A313" s="59"/>
    </row>
    <row r="314" spans="1:1" ht="13" x14ac:dyDescent="0.15">
      <c r="A314" s="59"/>
    </row>
    <row r="315" spans="1:1" ht="13" x14ac:dyDescent="0.15">
      <c r="A315" s="59"/>
    </row>
    <row r="316" spans="1:1" ht="13" x14ac:dyDescent="0.15">
      <c r="A316" s="59"/>
    </row>
    <row r="317" spans="1:1" ht="13" x14ac:dyDescent="0.15">
      <c r="A317" s="59"/>
    </row>
    <row r="318" spans="1:1" ht="13" x14ac:dyDescent="0.15">
      <c r="A318" s="59"/>
    </row>
    <row r="319" spans="1:1" ht="13" x14ac:dyDescent="0.15">
      <c r="A319" s="59"/>
    </row>
    <row r="320" spans="1:1" ht="13" x14ac:dyDescent="0.15">
      <c r="A320" s="59"/>
    </row>
    <row r="321" spans="1:1" ht="13" x14ac:dyDescent="0.15">
      <c r="A321" s="59"/>
    </row>
    <row r="322" spans="1:1" ht="13" x14ac:dyDescent="0.15">
      <c r="A322" s="59"/>
    </row>
    <row r="323" spans="1:1" ht="13" x14ac:dyDescent="0.15">
      <c r="A323" s="59"/>
    </row>
    <row r="324" spans="1:1" ht="13" x14ac:dyDescent="0.15">
      <c r="A324" s="59"/>
    </row>
    <row r="325" spans="1:1" ht="13" x14ac:dyDescent="0.15">
      <c r="A325" s="59"/>
    </row>
    <row r="326" spans="1:1" ht="13" x14ac:dyDescent="0.15">
      <c r="A326" s="59"/>
    </row>
    <row r="327" spans="1:1" ht="13" x14ac:dyDescent="0.15">
      <c r="A327" s="59"/>
    </row>
    <row r="328" spans="1:1" ht="13" x14ac:dyDescent="0.15">
      <c r="A328" s="59"/>
    </row>
    <row r="329" spans="1:1" ht="13" x14ac:dyDescent="0.15">
      <c r="A329" s="59"/>
    </row>
    <row r="330" spans="1:1" ht="13" x14ac:dyDescent="0.15">
      <c r="A330" s="59"/>
    </row>
    <row r="331" spans="1:1" ht="13" x14ac:dyDescent="0.15">
      <c r="A331" s="59"/>
    </row>
    <row r="332" spans="1:1" ht="13" x14ac:dyDescent="0.15">
      <c r="A332" s="59"/>
    </row>
    <row r="333" spans="1:1" ht="13" x14ac:dyDescent="0.15">
      <c r="A333" s="59"/>
    </row>
    <row r="334" spans="1:1" ht="13" x14ac:dyDescent="0.15">
      <c r="A334" s="59"/>
    </row>
    <row r="335" spans="1:1" ht="13" x14ac:dyDescent="0.15">
      <c r="A335" s="59"/>
    </row>
    <row r="336" spans="1:1" ht="13" x14ac:dyDescent="0.15">
      <c r="A336" s="59"/>
    </row>
    <row r="337" spans="1:1" ht="13" x14ac:dyDescent="0.15">
      <c r="A337" s="59"/>
    </row>
    <row r="338" spans="1:1" ht="13" x14ac:dyDescent="0.15">
      <c r="A338" s="59"/>
    </row>
    <row r="339" spans="1:1" ht="13" x14ac:dyDescent="0.15">
      <c r="A339" s="59"/>
    </row>
    <row r="340" spans="1:1" ht="13" x14ac:dyDescent="0.15">
      <c r="A340" s="59"/>
    </row>
    <row r="341" spans="1:1" ht="13" x14ac:dyDescent="0.15">
      <c r="A341" s="59"/>
    </row>
    <row r="342" spans="1:1" ht="13" x14ac:dyDescent="0.15">
      <c r="A342" s="59"/>
    </row>
    <row r="343" spans="1:1" ht="13" x14ac:dyDescent="0.15">
      <c r="A343" s="59"/>
    </row>
    <row r="344" spans="1:1" ht="13" x14ac:dyDescent="0.15">
      <c r="A344" s="59"/>
    </row>
    <row r="345" spans="1:1" ht="13" x14ac:dyDescent="0.15">
      <c r="A345" s="59"/>
    </row>
    <row r="346" spans="1:1" ht="13" x14ac:dyDescent="0.15">
      <c r="A346" s="59"/>
    </row>
    <row r="347" spans="1:1" ht="13" x14ac:dyDescent="0.15">
      <c r="A347" s="59"/>
    </row>
    <row r="348" spans="1:1" ht="13" x14ac:dyDescent="0.15">
      <c r="A348" s="59"/>
    </row>
    <row r="349" spans="1:1" ht="13" x14ac:dyDescent="0.15">
      <c r="A349" s="59"/>
    </row>
    <row r="350" spans="1:1" ht="13" x14ac:dyDescent="0.15">
      <c r="A350" s="59"/>
    </row>
    <row r="351" spans="1:1" ht="13" x14ac:dyDescent="0.15">
      <c r="A351" s="59"/>
    </row>
    <row r="352" spans="1:1" ht="13" x14ac:dyDescent="0.15">
      <c r="A352" s="59"/>
    </row>
    <row r="353" spans="1:1" ht="13" x14ac:dyDescent="0.15">
      <c r="A353" s="59"/>
    </row>
    <row r="354" spans="1:1" ht="13" x14ac:dyDescent="0.15">
      <c r="A354" s="59"/>
    </row>
    <row r="355" spans="1:1" ht="13" x14ac:dyDescent="0.15">
      <c r="A355" s="59"/>
    </row>
    <row r="356" spans="1:1" ht="13" x14ac:dyDescent="0.15">
      <c r="A356" s="59"/>
    </row>
    <row r="357" spans="1:1" ht="13" x14ac:dyDescent="0.15">
      <c r="A357" s="59"/>
    </row>
    <row r="358" spans="1:1" ht="13" x14ac:dyDescent="0.15">
      <c r="A358" s="59"/>
    </row>
    <row r="359" spans="1:1" ht="13" x14ac:dyDescent="0.15">
      <c r="A359" s="59"/>
    </row>
    <row r="360" spans="1:1" ht="13" x14ac:dyDescent="0.15">
      <c r="A360" s="59"/>
    </row>
    <row r="361" spans="1:1" ht="13" x14ac:dyDescent="0.15">
      <c r="A361" s="59"/>
    </row>
    <row r="362" spans="1:1" ht="13" x14ac:dyDescent="0.15">
      <c r="A362" s="59"/>
    </row>
    <row r="363" spans="1:1" ht="13" x14ac:dyDescent="0.15">
      <c r="A363" s="59"/>
    </row>
    <row r="364" spans="1:1" ht="13" x14ac:dyDescent="0.15">
      <c r="A364" s="59"/>
    </row>
    <row r="365" spans="1:1" ht="13" x14ac:dyDescent="0.15">
      <c r="A365" s="59"/>
    </row>
    <row r="366" spans="1:1" ht="13" x14ac:dyDescent="0.15">
      <c r="A366" s="59"/>
    </row>
    <row r="367" spans="1:1" ht="13" x14ac:dyDescent="0.15">
      <c r="A367" s="59"/>
    </row>
    <row r="368" spans="1:1" ht="13" x14ac:dyDescent="0.15">
      <c r="A368" s="59"/>
    </row>
    <row r="369" spans="1:1" ht="13" x14ac:dyDescent="0.15">
      <c r="A369" s="59"/>
    </row>
    <row r="370" spans="1:1" ht="13" x14ac:dyDescent="0.15">
      <c r="A370" s="59"/>
    </row>
    <row r="371" spans="1:1" ht="13" x14ac:dyDescent="0.15">
      <c r="A371" s="59"/>
    </row>
    <row r="372" spans="1:1" ht="13" x14ac:dyDescent="0.15">
      <c r="A372" s="59"/>
    </row>
    <row r="373" spans="1:1" ht="13" x14ac:dyDescent="0.15">
      <c r="A373" s="59"/>
    </row>
    <row r="374" spans="1:1" ht="13" x14ac:dyDescent="0.15">
      <c r="A374" s="59"/>
    </row>
    <row r="375" spans="1:1" ht="13" x14ac:dyDescent="0.15">
      <c r="A375" s="59"/>
    </row>
    <row r="376" spans="1:1" ht="13" x14ac:dyDescent="0.15">
      <c r="A376" s="59"/>
    </row>
    <row r="377" spans="1:1" ht="13" x14ac:dyDescent="0.15">
      <c r="A377" s="59"/>
    </row>
    <row r="378" spans="1:1" ht="13" x14ac:dyDescent="0.15">
      <c r="A378" s="59"/>
    </row>
    <row r="379" spans="1:1" ht="13" x14ac:dyDescent="0.15">
      <c r="A379" s="59"/>
    </row>
    <row r="380" spans="1:1" ht="13" x14ac:dyDescent="0.15">
      <c r="A380" s="59"/>
    </row>
    <row r="381" spans="1:1" ht="13" x14ac:dyDescent="0.15">
      <c r="A381" s="59"/>
    </row>
    <row r="382" spans="1:1" ht="13" x14ac:dyDescent="0.15">
      <c r="A382" s="59"/>
    </row>
    <row r="383" spans="1:1" ht="13" x14ac:dyDescent="0.15">
      <c r="A383" s="59"/>
    </row>
    <row r="384" spans="1:1" ht="13" x14ac:dyDescent="0.15">
      <c r="A384" s="59"/>
    </row>
    <row r="385" spans="1:1" ht="13" x14ac:dyDescent="0.15">
      <c r="A385" s="59"/>
    </row>
    <row r="386" spans="1:1" ht="13" x14ac:dyDescent="0.15">
      <c r="A386" s="59"/>
    </row>
    <row r="387" spans="1:1" ht="13" x14ac:dyDescent="0.15">
      <c r="A387" s="59"/>
    </row>
    <row r="388" spans="1:1" ht="13" x14ac:dyDescent="0.15">
      <c r="A388" s="59"/>
    </row>
    <row r="389" spans="1:1" ht="13" x14ac:dyDescent="0.15">
      <c r="A389" s="59"/>
    </row>
    <row r="390" spans="1:1" ht="13" x14ac:dyDescent="0.15">
      <c r="A390" s="59"/>
    </row>
    <row r="391" spans="1:1" ht="13" x14ac:dyDescent="0.15">
      <c r="A391" s="59"/>
    </row>
    <row r="392" spans="1:1" ht="13" x14ac:dyDescent="0.15">
      <c r="A392" s="59"/>
    </row>
    <row r="393" spans="1:1" ht="13" x14ac:dyDescent="0.15">
      <c r="A393" s="59"/>
    </row>
    <row r="394" spans="1:1" ht="13" x14ac:dyDescent="0.15">
      <c r="A394" s="59"/>
    </row>
    <row r="395" spans="1:1" ht="13" x14ac:dyDescent="0.15">
      <c r="A395" s="59"/>
    </row>
    <row r="396" spans="1:1" ht="13" x14ac:dyDescent="0.15">
      <c r="A396" s="59"/>
    </row>
    <row r="397" spans="1:1" ht="13" x14ac:dyDescent="0.15">
      <c r="A397" s="59"/>
    </row>
    <row r="398" spans="1:1" ht="13" x14ac:dyDescent="0.15">
      <c r="A398" s="59"/>
    </row>
    <row r="399" spans="1:1" ht="13" x14ac:dyDescent="0.15">
      <c r="A399" s="59"/>
    </row>
    <row r="400" spans="1:1" ht="13" x14ac:dyDescent="0.15">
      <c r="A400" s="59"/>
    </row>
    <row r="401" spans="1:1" ht="13" x14ac:dyDescent="0.15">
      <c r="A401" s="59"/>
    </row>
    <row r="402" spans="1:1" ht="13" x14ac:dyDescent="0.15">
      <c r="A402" s="59"/>
    </row>
    <row r="403" spans="1:1" ht="13" x14ac:dyDescent="0.15">
      <c r="A403" s="59"/>
    </row>
    <row r="404" spans="1:1" ht="13" x14ac:dyDescent="0.15">
      <c r="A404" s="59"/>
    </row>
    <row r="405" spans="1:1" ht="13" x14ac:dyDescent="0.15">
      <c r="A405" s="59"/>
    </row>
    <row r="406" spans="1:1" ht="13" x14ac:dyDescent="0.15">
      <c r="A406" s="59"/>
    </row>
    <row r="407" spans="1:1" ht="13" x14ac:dyDescent="0.15">
      <c r="A407" s="59"/>
    </row>
    <row r="408" spans="1:1" ht="13" x14ac:dyDescent="0.15">
      <c r="A408" s="59"/>
    </row>
    <row r="409" spans="1:1" ht="13" x14ac:dyDescent="0.15">
      <c r="A409" s="59"/>
    </row>
    <row r="410" spans="1:1" ht="13" x14ac:dyDescent="0.15">
      <c r="A410" s="59"/>
    </row>
    <row r="411" spans="1:1" ht="13" x14ac:dyDescent="0.15">
      <c r="A411" s="59"/>
    </row>
    <row r="412" spans="1:1" ht="13" x14ac:dyDescent="0.15">
      <c r="A412" s="59"/>
    </row>
    <row r="413" spans="1:1" ht="13" x14ac:dyDescent="0.15">
      <c r="A413" s="59"/>
    </row>
    <row r="414" spans="1:1" ht="13" x14ac:dyDescent="0.15">
      <c r="A414" s="59"/>
    </row>
    <row r="415" spans="1:1" ht="13" x14ac:dyDescent="0.15">
      <c r="A415" s="59"/>
    </row>
    <row r="416" spans="1:1" ht="13" x14ac:dyDescent="0.15">
      <c r="A416" s="59"/>
    </row>
    <row r="417" spans="1:1" ht="13" x14ac:dyDescent="0.15">
      <c r="A417" s="59"/>
    </row>
    <row r="418" spans="1:1" ht="13" x14ac:dyDescent="0.15">
      <c r="A418" s="59"/>
    </row>
    <row r="419" spans="1:1" ht="13" x14ac:dyDescent="0.15">
      <c r="A419" s="59"/>
    </row>
    <row r="420" spans="1:1" ht="13" x14ac:dyDescent="0.15">
      <c r="A420" s="59"/>
    </row>
    <row r="421" spans="1:1" ht="13" x14ac:dyDescent="0.15">
      <c r="A421" s="59"/>
    </row>
    <row r="422" spans="1:1" ht="13" x14ac:dyDescent="0.15">
      <c r="A422" s="59"/>
    </row>
    <row r="423" spans="1:1" ht="13" x14ac:dyDescent="0.15">
      <c r="A423" s="59"/>
    </row>
    <row r="424" spans="1:1" ht="13" x14ac:dyDescent="0.15">
      <c r="A424" s="59"/>
    </row>
    <row r="425" spans="1:1" ht="13" x14ac:dyDescent="0.15">
      <c r="A425" s="59"/>
    </row>
    <row r="426" spans="1:1" ht="13" x14ac:dyDescent="0.15">
      <c r="A426" s="59"/>
    </row>
    <row r="427" spans="1:1" ht="13" x14ac:dyDescent="0.15">
      <c r="A427" s="59"/>
    </row>
    <row r="428" spans="1:1" ht="13" x14ac:dyDescent="0.15">
      <c r="A428" s="59"/>
    </row>
    <row r="429" spans="1:1" ht="13" x14ac:dyDescent="0.15">
      <c r="A429" s="59"/>
    </row>
    <row r="430" spans="1:1" ht="13" x14ac:dyDescent="0.15">
      <c r="A430" s="59"/>
    </row>
    <row r="431" spans="1:1" ht="13" x14ac:dyDescent="0.15">
      <c r="A431" s="59"/>
    </row>
    <row r="432" spans="1:1" ht="13" x14ac:dyDescent="0.15">
      <c r="A432" s="59"/>
    </row>
    <row r="433" spans="1:1" ht="13" x14ac:dyDescent="0.15">
      <c r="A433" s="59"/>
    </row>
    <row r="434" spans="1:1" ht="13" x14ac:dyDescent="0.15">
      <c r="A434" s="59"/>
    </row>
    <row r="435" spans="1:1" ht="13" x14ac:dyDescent="0.15">
      <c r="A435" s="59"/>
    </row>
    <row r="436" spans="1:1" ht="13" x14ac:dyDescent="0.15">
      <c r="A436" s="59"/>
    </row>
    <row r="437" spans="1:1" ht="13" x14ac:dyDescent="0.15">
      <c r="A437" s="59"/>
    </row>
    <row r="438" spans="1:1" ht="13" x14ac:dyDescent="0.15">
      <c r="A438" s="59"/>
    </row>
    <row r="439" spans="1:1" ht="13" x14ac:dyDescent="0.15">
      <c r="A439" s="59"/>
    </row>
    <row r="440" spans="1:1" ht="13" x14ac:dyDescent="0.15">
      <c r="A440" s="59"/>
    </row>
    <row r="441" spans="1:1" ht="13" x14ac:dyDescent="0.15">
      <c r="A441" s="59"/>
    </row>
    <row r="442" spans="1:1" ht="13" x14ac:dyDescent="0.15">
      <c r="A442" s="59"/>
    </row>
    <row r="443" spans="1:1" ht="13" x14ac:dyDescent="0.15">
      <c r="A443" s="59"/>
    </row>
    <row r="444" spans="1:1" ht="13" x14ac:dyDescent="0.15">
      <c r="A444" s="59"/>
    </row>
    <row r="445" spans="1:1" ht="13" x14ac:dyDescent="0.15">
      <c r="A445" s="59"/>
    </row>
    <row r="446" spans="1:1" ht="13" x14ac:dyDescent="0.15">
      <c r="A446" s="59"/>
    </row>
    <row r="447" spans="1:1" ht="13" x14ac:dyDescent="0.15">
      <c r="A447" s="59"/>
    </row>
    <row r="448" spans="1:1" ht="13" x14ac:dyDescent="0.15">
      <c r="A448" s="59"/>
    </row>
    <row r="449" spans="1:1" ht="13" x14ac:dyDescent="0.15">
      <c r="A449" s="59"/>
    </row>
    <row r="450" spans="1:1" ht="13" x14ac:dyDescent="0.15">
      <c r="A450" s="59"/>
    </row>
    <row r="451" spans="1:1" ht="13" x14ac:dyDescent="0.15">
      <c r="A451" s="59"/>
    </row>
    <row r="452" spans="1:1" ht="13" x14ac:dyDescent="0.15">
      <c r="A452" s="59"/>
    </row>
    <row r="453" spans="1:1" ht="13" x14ac:dyDescent="0.15">
      <c r="A453" s="59"/>
    </row>
    <row r="454" spans="1:1" ht="13" x14ac:dyDescent="0.15">
      <c r="A454" s="59"/>
    </row>
    <row r="455" spans="1:1" ht="13" x14ac:dyDescent="0.15">
      <c r="A455" s="59"/>
    </row>
    <row r="456" spans="1:1" ht="13" x14ac:dyDescent="0.15">
      <c r="A456" s="59"/>
    </row>
    <row r="457" spans="1:1" ht="13" x14ac:dyDescent="0.15">
      <c r="A457" s="59"/>
    </row>
    <row r="458" spans="1:1" ht="13" x14ac:dyDescent="0.15">
      <c r="A458" s="59"/>
    </row>
    <row r="459" spans="1:1" ht="13" x14ac:dyDescent="0.15">
      <c r="A459" s="59"/>
    </row>
    <row r="460" spans="1:1" ht="13" x14ac:dyDescent="0.15">
      <c r="A460" s="59"/>
    </row>
    <row r="461" spans="1:1" ht="13" x14ac:dyDescent="0.15">
      <c r="A461" s="59"/>
    </row>
    <row r="462" spans="1:1" ht="13" x14ac:dyDescent="0.15">
      <c r="A462" s="59"/>
    </row>
    <row r="463" spans="1:1" ht="13" x14ac:dyDescent="0.15">
      <c r="A463" s="59"/>
    </row>
    <row r="464" spans="1:1" ht="13" x14ac:dyDescent="0.15">
      <c r="A464" s="59"/>
    </row>
    <row r="465" spans="1:1" ht="13" x14ac:dyDescent="0.15">
      <c r="A465" s="59"/>
    </row>
    <row r="466" spans="1:1" ht="13" x14ac:dyDescent="0.15">
      <c r="A466" s="59"/>
    </row>
    <row r="467" spans="1:1" ht="13" x14ac:dyDescent="0.15">
      <c r="A467" s="59"/>
    </row>
    <row r="468" spans="1:1" ht="13" x14ac:dyDescent="0.15">
      <c r="A468" s="59"/>
    </row>
    <row r="469" spans="1:1" ht="13" x14ac:dyDescent="0.15">
      <c r="A469" s="59"/>
    </row>
    <row r="470" spans="1:1" ht="13" x14ac:dyDescent="0.15">
      <c r="A470" s="59"/>
    </row>
    <row r="471" spans="1:1" ht="13" x14ac:dyDescent="0.15">
      <c r="A471" s="59"/>
    </row>
    <row r="472" spans="1:1" ht="13" x14ac:dyDescent="0.15">
      <c r="A472" s="59"/>
    </row>
    <row r="473" spans="1:1" ht="13" x14ac:dyDescent="0.15">
      <c r="A473" s="59"/>
    </row>
    <row r="474" spans="1:1" ht="13" x14ac:dyDescent="0.15">
      <c r="A474" s="59"/>
    </row>
    <row r="475" spans="1:1" ht="13" x14ac:dyDescent="0.15">
      <c r="A475" s="59"/>
    </row>
    <row r="476" spans="1:1" ht="13" x14ac:dyDescent="0.15">
      <c r="A476" s="59"/>
    </row>
    <row r="477" spans="1:1" ht="13" x14ac:dyDescent="0.15">
      <c r="A477" s="59"/>
    </row>
    <row r="478" spans="1:1" ht="13" x14ac:dyDescent="0.15">
      <c r="A478" s="59"/>
    </row>
    <row r="479" spans="1:1" ht="13" x14ac:dyDescent="0.15">
      <c r="A479" s="59"/>
    </row>
    <row r="480" spans="1:1" ht="13" x14ac:dyDescent="0.15">
      <c r="A480" s="59"/>
    </row>
    <row r="481" spans="1:1" ht="13" x14ac:dyDescent="0.15">
      <c r="A481" s="59"/>
    </row>
    <row r="482" spans="1:1" ht="13" x14ac:dyDescent="0.15">
      <c r="A482" s="59"/>
    </row>
    <row r="483" spans="1:1" ht="13" x14ac:dyDescent="0.15">
      <c r="A483" s="59"/>
    </row>
    <row r="484" spans="1:1" ht="13" x14ac:dyDescent="0.15">
      <c r="A484" s="59"/>
    </row>
    <row r="485" spans="1:1" ht="13" x14ac:dyDescent="0.15">
      <c r="A485" s="59"/>
    </row>
    <row r="486" spans="1:1" ht="13" x14ac:dyDescent="0.15">
      <c r="A486" s="59"/>
    </row>
    <row r="487" spans="1:1" ht="13" x14ac:dyDescent="0.15">
      <c r="A487" s="59"/>
    </row>
    <row r="488" spans="1:1" ht="13" x14ac:dyDescent="0.15">
      <c r="A488" s="59"/>
    </row>
    <row r="489" spans="1:1" ht="13" x14ac:dyDescent="0.15">
      <c r="A489" s="59"/>
    </row>
    <row r="490" spans="1:1" ht="13" x14ac:dyDescent="0.15">
      <c r="A490" s="59"/>
    </row>
    <row r="491" spans="1:1" ht="13" x14ac:dyDescent="0.15">
      <c r="A491" s="59"/>
    </row>
    <row r="492" spans="1:1" ht="13" x14ac:dyDescent="0.15">
      <c r="A492" s="59"/>
    </row>
    <row r="493" spans="1:1" ht="13" x14ac:dyDescent="0.15">
      <c r="A493" s="59"/>
    </row>
    <row r="494" spans="1:1" ht="13" x14ac:dyDescent="0.15">
      <c r="A494" s="59"/>
    </row>
    <row r="495" spans="1:1" ht="13" x14ac:dyDescent="0.15">
      <c r="A495" s="59"/>
    </row>
    <row r="496" spans="1:1" ht="13" x14ac:dyDescent="0.15">
      <c r="A496" s="59"/>
    </row>
    <row r="497" spans="1:1" ht="13" x14ac:dyDescent="0.15">
      <c r="A497" s="59"/>
    </row>
    <row r="498" spans="1:1" ht="13" x14ac:dyDescent="0.15">
      <c r="A498" s="59"/>
    </row>
    <row r="499" spans="1:1" ht="13" x14ac:dyDescent="0.15">
      <c r="A499" s="59"/>
    </row>
    <row r="500" spans="1:1" ht="13" x14ac:dyDescent="0.15">
      <c r="A500" s="59"/>
    </row>
    <row r="501" spans="1:1" ht="13" x14ac:dyDescent="0.15">
      <c r="A501" s="59"/>
    </row>
    <row r="502" spans="1:1" ht="13" x14ac:dyDescent="0.15">
      <c r="A502" s="59"/>
    </row>
    <row r="503" spans="1:1" ht="13" x14ac:dyDescent="0.15">
      <c r="A503" s="59"/>
    </row>
    <row r="504" spans="1:1" ht="13" x14ac:dyDescent="0.15">
      <c r="A504" s="59"/>
    </row>
    <row r="505" spans="1:1" ht="13" x14ac:dyDescent="0.15">
      <c r="A505" s="59"/>
    </row>
    <row r="506" spans="1:1" ht="13" x14ac:dyDescent="0.15">
      <c r="A506" s="59"/>
    </row>
    <row r="507" spans="1:1" ht="13" x14ac:dyDescent="0.15">
      <c r="A507" s="59"/>
    </row>
    <row r="508" spans="1:1" ht="13" x14ac:dyDescent="0.15">
      <c r="A508" s="59"/>
    </row>
    <row r="509" spans="1:1" ht="13" x14ac:dyDescent="0.15">
      <c r="A509" s="59"/>
    </row>
    <row r="510" spans="1:1" ht="13" x14ac:dyDescent="0.15">
      <c r="A510" s="59"/>
    </row>
    <row r="511" spans="1:1" ht="13" x14ac:dyDescent="0.15">
      <c r="A511" s="59"/>
    </row>
    <row r="512" spans="1:1" ht="13" x14ac:dyDescent="0.15">
      <c r="A512" s="59"/>
    </row>
    <row r="513" spans="1:1" ht="13" x14ac:dyDescent="0.15">
      <c r="A513" s="59"/>
    </row>
    <row r="514" spans="1:1" ht="13" x14ac:dyDescent="0.15">
      <c r="A514" s="59"/>
    </row>
    <row r="515" spans="1:1" ht="13" x14ac:dyDescent="0.15">
      <c r="A515" s="59"/>
    </row>
    <row r="516" spans="1:1" ht="13" x14ac:dyDescent="0.15">
      <c r="A516" s="59"/>
    </row>
    <row r="517" spans="1:1" ht="13" x14ac:dyDescent="0.15">
      <c r="A517" s="59"/>
    </row>
    <row r="518" spans="1:1" ht="13" x14ac:dyDescent="0.15">
      <c r="A518" s="59"/>
    </row>
    <row r="519" spans="1:1" ht="13" x14ac:dyDescent="0.15">
      <c r="A519" s="59"/>
    </row>
    <row r="520" spans="1:1" ht="13" x14ac:dyDescent="0.15">
      <c r="A520" s="59"/>
    </row>
    <row r="521" spans="1:1" ht="13" x14ac:dyDescent="0.15">
      <c r="A521" s="59"/>
    </row>
    <row r="522" spans="1:1" ht="13" x14ac:dyDescent="0.15">
      <c r="A522" s="59"/>
    </row>
    <row r="523" spans="1:1" ht="13" x14ac:dyDescent="0.15">
      <c r="A523" s="59"/>
    </row>
    <row r="524" spans="1:1" ht="13" x14ac:dyDescent="0.15">
      <c r="A524" s="59"/>
    </row>
    <row r="525" spans="1:1" ht="13" x14ac:dyDescent="0.15">
      <c r="A525" s="59"/>
    </row>
    <row r="526" spans="1:1" ht="13" x14ac:dyDescent="0.15">
      <c r="A526" s="59"/>
    </row>
    <row r="527" spans="1:1" ht="13" x14ac:dyDescent="0.15">
      <c r="A527" s="59"/>
    </row>
    <row r="528" spans="1:1" ht="13" x14ac:dyDescent="0.15">
      <c r="A528" s="59"/>
    </row>
    <row r="529" spans="1:1" ht="13" x14ac:dyDescent="0.15">
      <c r="A529" s="59"/>
    </row>
    <row r="530" spans="1:1" ht="13" x14ac:dyDescent="0.15">
      <c r="A530" s="59"/>
    </row>
    <row r="531" spans="1:1" ht="13" x14ac:dyDescent="0.15">
      <c r="A531" s="59"/>
    </row>
    <row r="532" spans="1:1" ht="13" x14ac:dyDescent="0.15">
      <c r="A532" s="59"/>
    </row>
    <row r="533" spans="1:1" ht="13" x14ac:dyDescent="0.15">
      <c r="A533" s="59"/>
    </row>
    <row r="534" spans="1:1" ht="13" x14ac:dyDescent="0.15">
      <c r="A534" s="59"/>
    </row>
    <row r="535" spans="1:1" ht="13" x14ac:dyDescent="0.15">
      <c r="A535" s="59"/>
    </row>
    <row r="536" spans="1:1" ht="13" x14ac:dyDescent="0.15">
      <c r="A536" s="59"/>
    </row>
    <row r="537" spans="1:1" ht="13" x14ac:dyDescent="0.15">
      <c r="A537" s="59"/>
    </row>
    <row r="538" spans="1:1" ht="13" x14ac:dyDescent="0.15">
      <c r="A538" s="59"/>
    </row>
    <row r="539" spans="1:1" ht="13" x14ac:dyDescent="0.15">
      <c r="A539" s="59"/>
    </row>
    <row r="540" spans="1:1" ht="13" x14ac:dyDescent="0.15">
      <c r="A540" s="59"/>
    </row>
    <row r="541" spans="1:1" ht="13" x14ac:dyDescent="0.15">
      <c r="A541" s="59"/>
    </row>
    <row r="542" spans="1:1" ht="13" x14ac:dyDescent="0.15">
      <c r="A542" s="59"/>
    </row>
    <row r="543" spans="1:1" ht="13" x14ac:dyDescent="0.15">
      <c r="A543" s="59"/>
    </row>
    <row r="544" spans="1:1" ht="13" x14ac:dyDescent="0.15">
      <c r="A544" s="59"/>
    </row>
    <row r="545" spans="1:1" ht="13" x14ac:dyDescent="0.15">
      <c r="A545" s="59"/>
    </row>
    <row r="546" spans="1:1" ht="13" x14ac:dyDescent="0.15">
      <c r="A546" s="59"/>
    </row>
    <row r="547" spans="1:1" ht="13" x14ac:dyDescent="0.15">
      <c r="A547" s="59"/>
    </row>
    <row r="548" spans="1:1" ht="13" x14ac:dyDescent="0.15">
      <c r="A548" s="59"/>
    </row>
    <row r="549" spans="1:1" ht="13" x14ac:dyDescent="0.15">
      <c r="A549" s="59"/>
    </row>
    <row r="550" spans="1:1" ht="13" x14ac:dyDescent="0.15">
      <c r="A550" s="59"/>
    </row>
    <row r="551" spans="1:1" ht="13" x14ac:dyDescent="0.15">
      <c r="A551" s="59"/>
    </row>
    <row r="552" spans="1:1" ht="13" x14ac:dyDescent="0.15">
      <c r="A552" s="59"/>
    </row>
    <row r="553" spans="1:1" ht="13" x14ac:dyDescent="0.15">
      <c r="A553" s="59"/>
    </row>
    <row r="554" spans="1:1" ht="13" x14ac:dyDescent="0.15">
      <c r="A554" s="59"/>
    </row>
    <row r="555" spans="1:1" ht="13" x14ac:dyDescent="0.15">
      <c r="A555" s="59"/>
    </row>
    <row r="556" spans="1:1" ht="13" x14ac:dyDescent="0.15">
      <c r="A556" s="59"/>
    </row>
    <row r="557" spans="1:1" ht="13" x14ac:dyDescent="0.15">
      <c r="A557" s="59"/>
    </row>
    <row r="558" spans="1:1" ht="13" x14ac:dyDescent="0.15">
      <c r="A558" s="59"/>
    </row>
    <row r="559" spans="1:1" ht="13" x14ac:dyDescent="0.15">
      <c r="A559" s="59"/>
    </row>
    <row r="560" spans="1:1" ht="13" x14ac:dyDescent="0.15">
      <c r="A560" s="59"/>
    </row>
    <row r="561" spans="1:1" ht="13" x14ac:dyDescent="0.15">
      <c r="A561" s="59"/>
    </row>
    <row r="562" spans="1:1" ht="13" x14ac:dyDescent="0.15">
      <c r="A562" s="59"/>
    </row>
    <row r="563" spans="1:1" ht="13" x14ac:dyDescent="0.15">
      <c r="A563" s="59"/>
    </row>
    <row r="564" spans="1:1" ht="13" x14ac:dyDescent="0.15">
      <c r="A564" s="59"/>
    </row>
    <row r="565" spans="1:1" ht="13" x14ac:dyDescent="0.15">
      <c r="A565" s="59"/>
    </row>
    <row r="566" spans="1:1" ht="13" x14ac:dyDescent="0.15">
      <c r="A566" s="59"/>
    </row>
    <row r="567" spans="1:1" ht="13" x14ac:dyDescent="0.15">
      <c r="A567" s="59"/>
    </row>
    <row r="568" spans="1:1" ht="13" x14ac:dyDescent="0.15">
      <c r="A568" s="59"/>
    </row>
    <row r="569" spans="1:1" ht="13" x14ac:dyDescent="0.15">
      <c r="A569" s="59"/>
    </row>
    <row r="570" spans="1:1" ht="13" x14ac:dyDescent="0.15">
      <c r="A570" s="59"/>
    </row>
    <row r="571" spans="1:1" ht="13" x14ac:dyDescent="0.15">
      <c r="A571" s="59"/>
    </row>
    <row r="572" spans="1:1" ht="13" x14ac:dyDescent="0.15">
      <c r="A572" s="59"/>
    </row>
    <row r="573" spans="1:1" ht="13" x14ac:dyDescent="0.15">
      <c r="A573" s="59"/>
    </row>
    <row r="574" spans="1:1" ht="13" x14ac:dyDescent="0.15">
      <c r="A574" s="59"/>
    </row>
    <row r="575" spans="1:1" ht="13" x14ac:dyDescent="0.15">
      <c r="A575" s="59"/>
    </row>
    <row r="576" spans="1:1" ht="13" x14ac:dyDescent="0.15">
      <c r="A576" s="59"/>
    </row>
    <row r="577" spans="1:1" ht="13" x14ac:dyDescent="0.15">
      <c r="A577" s="59"/>
    </row>
    <row r="578" spans="1:1" ht="13" x14ac:dyDescent="0.15">
      <c r="A578" s="59"/>
    </row>
    <row r="579" spans="1:1" ht="13" x14ac:dyDescent="0.15">
      <c r="A579" s="59"/>
    </row>
    <row r="580" spans="1:1" ht="13" x14ac:dyDescent="0.15">
      <c r="A580" s="59"/>
    </row>
    <row r="581" spans="1:1" ht="13" x14ac:dyDescent="0.15">
      <c r="A581" s="59"/>
    </row>
    <row r="582" spans="1:1" ht="13" x14ac:dyDescent="0.15">
      <c r="A582" s="59"/>
    </row>
    <row r="583" spans="1:1" ht="13" x14ac:dyDescent="0.15">
      <c r="A583" s="59"/>
    </row>
    <row r="584" spans="1:1" ht="13" x14ac:dyDescent="0.15">
      <c r="A584" s="59"/>
    </row>
    <row r="585" spans="1:1" ht="13" x14ac:dyDescent="0.15">
      <c r="A585" s="59"/>
    </row>
    <row r="586" spans="1:1" ht="13" x14ac:dyDescent="0.15">
      <c r="A586" s="59"/>
    </row>
    <row r="587" spans="1:1" ht="13" x14ac:dyDescent="0.15">
      <c r="A587" s="59"/>
    </row>
    <row r="588" spans="1:1" ht="13" x14ac:dyDescent="0.15">
      <c r="A588" s="59"/>
    </row>
    <row r="589" spans="1:1" ht="13" x14ac:dyDescent="0.15">
      <c r="A589" s="59"/>
    </row>
    <row r="590" spans="1:1" ht="13" x14ac:dyDescent="0.15">
      <c r="A590" s="59"/>
    </row>
    <row r="591" spans="1:1" ht="13" x14ac:dyDescent="0.15">
      <c r="A591" s="59"/>
    </row>
    <row r="592" spans="1:1" ht="13" x14ac:dyDescent="0.15">
      <c r="A592" s="59"/>
    </row>
    <row r="593" spans="1:1" ht="13" x14ac:dyDescent="0.15">
      <c r="A593" s="59"/>
    </row>
    <row r="594" spans="1:1" ht="13" x14ac:dyDescent="0.15">
      <c r="A594" s="59"/>
    </row>
    <row r="595" spans="1:1" ht="13" x14ac:dyDescent="0.15">
      <c r="A595" s="59"/>
    </row>
    <row r="596" spans="1:1" ht="13" x14ac:dyDescent="0.15">
      <c r="A596" s="59"/>
    </row>
    <row r="597" spans="1:1" ht="13" x14ac:dyDescent="0.15">
      <c r="A597" s="59"/>
    </row>
    <row r="598" spans="1:1" ht="13" x14ac:dyDescent="0.15">
      <c r="A598" s="59"/>
    </row>
    <row r="599" spans="1:1" ht="13" x14ac:dyDescent="0.15">
      <c r="A599" s="59"/>
    </row>
    <row r="600" spans="1:1" ht="13" x14ac:dyDescent="0.15">
      <c r="A600" s="59"/>
    </row>
    <row r="601" spans="1:1" ht="13" x14ac:dyDescent="0.15">
      <c r="A601" s="59"/>
    </row>
    <row r="602" spans="1:1" ht="13" x14ac:dyDescent="0.15">
      <c r="A602" s="59"/>
    </row>
    <row r="603" spans="1:1" ht="13" x14ac:dyDescent="0.15">
      <c r="A603" s="59"/>
    </row>
    <row r="604" spans="1:1" ht="13" x14ac:dyDescent="0.15">
      <c r="A604" s="59"/>
    </row>
    <row r="605" spans="1:1" ht="13" x14ac:dyDescent="0.15">
      <c r="A605" s="59"/>
    </row>
    <row r="606" spans="1:1" ht="13" x14ac:dyDescent="0.15">
      <c r="A606" s="59"/>
    </row>
    <row r="607" spans="1:1" ht="13" x14ac:dyDescent="0.15">
      <c r="A607" s="59"/>
    </row>
    <row r="608" spans="1:1" ht="13" x14ac:dyDescent="0.15">
      <c r="A608" s="59"/>
    </row>
    <row r="609" spans="1:1" ht="13" x14ac:dyDescent="0.15">
      <c r="A609" s="59"/>
    </row>
    <row r="610" spans="1:1" ht="13" x14ac:dyDescent="0.15">
      <c r="A610" s="59"/>
    </row>
    <row r="611" spans="1:1" ht="13" x14ac:dyDescent="0.15">
      <c r="A611" s="59"/>
    </row>
    <row r="612" spans="1:1" ht="13" x14ac:dyDescent="0.15">
      <c r="A612" s="59"/>
    </row>
    <row r="613" spans="1:1" ht="13" x14ac:dyDescent="0.15">
      <c r="A613" s="59"/>
    </row>
    <row r="614" spans="1:1" ht="13" x14ac:dyDescent="0.15">
      <c r="A614" s="59"/>
    </row>
    <row r="615" spans="1:1" ht="13" x14ac:dyDescent="0.15">
      <c r="A615" s="59"/>
    </row>
    <row r="616" spans="1:1" ht="13" x14ac:dyDescent="0.15">
      <c r="A616" s="59"/>
    </row>
    <row r="617" spans="1:1" ht="13" x14ac:dyDescent="0.15">
      <c r="A617" s="59"/>
    </row>
    <row r="618" spans="1:1" ht="13" x14ac:dyDescent="0.15">
      <c r="A618" s="59"/>
    </row>
    <row r="619" spans="1:1" ht="13" x14ac:dyDescent="0.15">
      <c r="A619" s="59"/>
    </row>
    <row r="620" spans="1:1" ht="13" x14ac:dyDescent="0.15">
      <c r="A620" s="59"/>
    </row>
    <row r="621" spans="1:1" ht="13" x14ac:dyDescent="0.15">
      <c r="A621" s="59"/>
    </row>
    <row r="622" spans="1:1" ht="13" x14ac:dyDescent="0.15">
      <c r="A622" s="59"/>
    </row>
    <row r="623" spans="1:1" ht="13" x14ac:dyDescent="0.15">
      <c r="A623" s="59"/>
    </row>
    <row r="624" spans="1:1" ht="13" x14ac:dyDescent="0.15">
      <c r="A624" s="59"/>
    </row>
    <row r="625" spans="1:1" ht="13" x14ac:dyDescent="0.15">
      <c r="A625" s="59"/>
    </row>
    <row r="626" spans="1:1" ht="13" x14ac:dyDescent="0.15">
      <c r="A626" s="59"/>
    </row>
    <row r="627" spans="1:1" ht="13" x14ac:dyDescent="0.15">
      <c r="A627" s="59"/>
    </row>
    <row r="628" spans="1:1" ht="13" x14ac:dyDescent="0.15">
      <c r="A628" s="59"/>
    </row>
    <row r="629" spans="1:1" ht="13" x14ac:dyDescent="0.15">
      <c r="A629" s="59"/>
    </row>
    <row r="630" spans="1:1" ht="13" x14ac:dyDescent="0.15">
      <c r="A630" s="59"/>
    </row>
    <row r="631" spans="1:1" ht="13" x14ac:dyDescent="0.15">
      <c r="A631" s="59"/>
    </row>
    <row r="632" spans="1:1" ht="13" x14ac:dyDescent="0.15">
      <c r="A632" s="59"/>
    </row>
    <row r="633" spans="1:1" ht="13" x14ac:dyDescent="0.15">
      <c r="A633" s="59"/>
    </row>
    <row r="634" spans="1:1" ht="13" x14ac:dyDescent="0.15">
      <c r="A634" s="59"/>
    </row>
    <row r="635" spans="1:1" ht="13" x14ac:dyDescent="0.15">
      <c r="A635" s="59"/>
    </row>
    <row r="636" spans="1:1" ht="13" x14ac:dyDescent="0.15">
      <c r="A636" s="59"/>
    </row>
    <row r="637" spans="1:1" ht="13" x14ac:dyDescent="0.15">
      <c r="A637" s="59"/>
    </row>
    <row r="638" spans="1:1" ht="13" x14ac:dyDescent="0.15">
      <c r="A638" s="59"/>
    </row>
    <row r="639" spans="1:1" ht="13" x14ac:dyDescent="0.15">
      <c r="A639" s="59"/>
    </row>
    <row r="640" spans="1:1" ht="13" x14ac:dyDescent="0.15">
      <c r="A640" s="59"/>
    </row>
    <row r="641" spans="1:1" ht="13" x14ac:dyDescent="0.15">
      <c r="A641" s="59"/>
    </row>
    <row r="642" spans="1:1" ht="13" x14ac:dyDescent="0.15">
      <c r="A642" s="59"/>
    </row>
    <row r="643" spans="1:1" ht="13" x14ac:dyDescent="0.15">
      <c r="A643" s="59"/>
    </row>
    <row r="644" spans="1:1" ht="13" x14ac:dyDescent="0.15">
      <c r="A644" s="59"/>
    </row>
    <row r="645" spans="1:1" ht="13" x14ac:dyDescent="0.15">
      <c r="A645" s="59"/>
    </row>
    <row r="646" spans="1:1" ht="13" x14ac:dyDescent="0.15">
      <c r="A646" s="59"/>
    </row>
    <row r="647" spans="1:1" ht="13" x14ac:dyDescent="0.15">
      <c r="A647" s="59"/>
    </row>
    <row r="648" spans="1:1" ht="13" x14ac:dyDescent="0.15">
      <c r="A648" s="59"/>
    </row>
    <row r="649" spans="1:1" ht="13" x14ac:dyDescent="0.15">
      <c r="A649" s="59"/>
    </row>
    <row r="650" spans="1:1" ht="13" x14ac:dyDescent="0.15">
      <c r="A650" s="59"/>
    </row>
    <row r="651" spans="1:1" ht="13" x14ac:dyDescent="0.15">
      <c r="A651" s="59"/>
    </row>
    <row r="652" spans="1:1" ht="13" x14ac:dyDescent="0.15">
      <c r="A652" s="59"/>
    </row>
    <row r="653" spans="1:1" ht="13" x14ac:dyDescent="0.15">
      <c r="A653" s="59"/>
    </row>
    <row r="654" spans="1:1" ht="13" x14ac:dyDescent="0.15">
      <c r="A654" s="59"/>
    </row>
    <row r="655" spans="1:1" ht="13" x14ac:dyDescent="0.15">
      <c r="A655" s="59"/>
    </row>
    <row r="656" spans="1:1" ht="13" x14ac:dyDescent="0.15">
      <c r="A656" s="59"/>
    </row>
    <row r="657" spans="1:1" ht="13" x14ac:dyDescent="0.15">
      <c r="A657" s="59"/>
    </row>
    <row r="658" spans="1:1" ht="13" x14ac:dyDescent="0.15">
      <c r="A658" s="59"/>
    </row>
    <row r="659" spans="1:1" ht="13" x14ac:dyDescent="0.15">
      <c r="A659" s="59"/>
    </row>
    <row r="660" spans="1:1" ht="13" x14ac:dyDescent="0.15">
      <c r="A660" s="59"/>
    </row>
    <row r="661" spans="1:1" ht="13" x14ac:dyDescent="0.15">
      <c r="A661" s="59"/>
    </row>
    <row r="662" spans="1:1" ht="13" x14ac:dyDescent="0.15">
      <c r="A662" s="59"/>
    </row>
    <row r="663" spans="1:1" ht="13" x14ac:dyDescent="0.15">
      <c r="A663" s="59"/>
    </row>
    <row r="664" spans="1:1" ht="13" x14ac:dyDescent="0.15">
      <c r="A664" s="59"/>
    </row>
    <row r="665" spans="1:1" ht="13" x14ac:dyDescent="0.15">
      <c r="A665" s="59"/>
    </row>
    <row r="666" spans="1:1" ht="13" x14ac:dyDescent="0.15">
      <c r="A666" s="59"/>
    </row>
    <row r="667" spans="1:1" ht="13" x14ac:dyDescent="0.15">
      <c r="A667" s="59"/>
    </row>
    <row r="668" spans="1:1" ht="13" x14ac:dyDescent="0.15">
      <c r="A668" s="59"/>
    </row>
    <row r="669" spans="1:1" ht="13" x14ac:dyDescent="0.15">
      <c r="A669" s="59"/>
    </row>
    <row r="670" spans="1:1" ht="13" x14ac:dyDescent="0.15">
      <c r="A670" s="59"/>
    </row>
    <row r="671" spans="1:1" ht="13" x14ac:dyDescent="0.15">
      <c r="A671" s="59"/>
    </row>
    <row r="672" spans="1:1" ht="13" x14ac:dyDescent="0.15">
      <c r="A672" s="59"/>
    </row>
    <row r="673" spans="1:1" ht="13" x14ac:dyDescent="0.15">
      <c r="A673" s="59"/>
    </row>
    <row r="674" spans="1:1" ht="13" x14ac:dyDescent="0.15">
      <c r="A674" s="59"/>
    </row>
    <row r="675" spans="1:1" ht="13" x14ac:dyDescent="0.15">
      <c r="A675" s="59"/>
    </row>
    <row r="676" spans="1:1" ht="13" x14ac:dyDescent="0.15">
      <c r="A676" s="59"/>
    </row>
    <row r="677" spans="1:1" ht="13" x14ac:dyDescent="0.15">
      <c r="A677" s="59"/>
    </row>
    <row r="678" spans="1:1" ht="13" x14ac:dyDescent="0.15">
      <c r="A678" s="59"/>
    </row>
    <row r="679" spans="1:1" ht="13" x14ac:dyDescent="0.15">
      <c r="A679" s="59"/>
    </row>
    <row r="680" spans="1:1" ht="13" x14ac:dyDescent="0.15">
      <c r="A680" s="59"/>
    </row>
    <row r="681" spans="1:1" ht="13" x14ac:dyDescent="0.15">
      <c r="A681" s="59"/>
    </row>
    <row r="682" spans="1:1" ht="13" x14ac:dyDescent="0.15">
      <c r="A682" s="59"/>
    </row>
    <row r="683" spans="1:1" ht="13" x14ac:dyDescent="0.15">
      <c r="A683" s="59"/>
    </row>
    <row r="684" spans="1:1" ht="13" x14ac:dyDescent="0.15">
      <c r="A684" s="59"/>
    </row>
    <row r="685" spans="1:1" ht="13" x14ac:dyDescent="0.15">
      <c r="A685" s="59"/>
    </row>
    <row r="686" spans="1:1" ht="13" x14ac:dyDescent="0.15">
      <c r="A686" s="59"/>
    </row>
    <row r="687" spans="1:1" ht="13" x14ac:dyDescent="0.15">
      <c r="A687" s="59"/>
    </row>
    <row r="688" spans="1:1" ht="13" x14ac:dyDescent="0.15">
      <c r="A688" s="59"/>
    </row>
    <row r="689" spans="1:1" ht="13" x14ac:dyDescent="0.15">
      <c r="A689" s="59"/>
    </row>
    <row r="690" spans="1:1" ht="13" x14ac:dyDescent="0.15">
      <c r="A690" s="59"/>
    </row>
    <row r="691" spans="1:1" ht="13" x14ac:dyDescent="0.15">
      <c r="A691" s="59"/>
    </row>
    <row r="692" spans="1:1" ht="13" x14ac:dyDescent="0.15">
      <c r="A692" s="59"/>
    </row>
    <row r="693" spans="1:1" ht="13" x14ac:dyDescent="0.15">
      <c r="A693" s="59"/>
    </row>
    <row r="694" spans="1:1" ht="13" x14ac:dyDescent="0.15">
      <c r="A694" s="59"/>
    </row>
    <row r="695" spans="1:1" ht="13" x14ac:dyDescent="0.15">
      <c r="A695" s="59"/>
    </row>
    <row r="696" spans="1:1" ht="13" x14ac:dyDescent="0.15">
      <c r="A696" s="59"/>
    </row>
    <row r="697" spans="1:1" ht="13" x14ac:dyDescent="0.15">
      <c r="A697" s="59"/>
    </row>
    <row r="698" spans="1:1" ht="13" x14ac:dyDescent="0.15">
      <c r="A698" s="59"/>
    </row>
    <row r="699" spans="1:1" ht="13" x14ac:dyDescent="0.15">
      <c r="A699" s="59"/>
    </row>
    <row r="700" spans="1:1" ht="13" x14ac:dyDescent="0.15">
      <c r="A700" s="59"/>
    </row>
    <row r="701" spans="1:1" ht="13" x14ac:dyDescent="0.15">
      <c r="A701" s="59"/>
    </row>
    <row r="702" spans="1:1" ht="13" x14ac:dyDescent="0.15">
      <c r="A702" s="59"/>
    </row>
    <row r="703" spans="1:1" ht="13" x14ac:dyDescent="0.15">
      <c r="A703" s="59"/>
    </row>
    <row r="704" spans="1:1" ht="13" x14ac:dyDescent="0.15">
      <c r="A704" s="59"/>
    </row>
    <row r="705" spans="1:1" ht="13" x14ac:dyDescent="0.15">
      <c r="A705" s="59"/>
    </row>
    <row r="706" spans="1:1" ht="13" x14ac:dyDescent="0.15">
      <c r="A706" s="59"/>
    </row>
    <row r="707" spans="1:1" ht="13" x14ac:dyDescent="0.15">
      <c r="A707" s="59"/>
    </row>
    <row r="708" spans="1:1" ht="13" x14ac:dyDescent="0.15">
      <c r="A708" s="59"/>
    </row>
    <row r="709" spans="1:1" ht="13" x14ac:dyDescent="0.15">
      <c r="A709" s="59"/>
    </row>
    <row r="710" spans="1:1" ht="13" x14ac:dyDescent="0.15">
      <c r="A710" s="59"/>
    </row>
    <row r="711" spans="1:1" ht="13" x14ac:dyDescent="0.15">
      <c r="A711" s="59"/>
    </row>
    <row r="712" spans="1:1" ht="13" x14ac:dyDescent="0.15">
      <c r="A712" s="59"/>
    </row>
    <row r="713" spans="1:1" ht="13" x14ac:dyDescent="0.15">
      <c r="A713" s="59"/>
    </row>
    <row r="714" spans="1:1" ht="13" x14ac:dyDescent="0.15">
      <c r="A714" s="59"/>
    </row>
    <row r="715" spans="1:1" ht="13" x14ac:dyDescent="0.15">
      <c r="A715" s="59"/>
    </row>
    <row r="716" spans="1:1" ht="13" x14ac:dyDescent="0.15">
      <c r="A716" s="59"/>
    </row>
    <row r="717" spans="1:1" ht="13" x14ac:dyDescent="0.15">
      <c r="A717" s="59"/>
    </row>
    <row r="718" spans="1:1" ht="13" x14ac:dyDescent="0.15">
      <c r="A718" s="59"/>
    </row>
    <row r="719" spans="1:1" ht="13" x14ac:dyDescent="0.15">
      <c r="A719" s="59"/>
    </row>
    <row r="720" spans="1:1" ht="13" x14ac:dyDescent="0.15">
      <c r="A720" s="59"/>
    </row>
    <row r="721" spans="1:1" ht="13" x14ac:dyDescent="0.15">
      <c r="A721" s="59"/>
    </row>
    <row r="722" spans="1:1" ht="13" x14ac:dyDescent="0.15">
      <c r="A722" s="59"/>
    </row>
    <row r="723" spans="1:1" ht="13" x14ac:dyDescent="0.15">
      <c r="A723" s="59"/>
    </row>
    <row r="724" spans="1:1" ht="13" x14ac:dyDescent="0.15">
      <c r="A724" s="59"/>
    </row>
    <row r="725" spans="1:1" ht="13" x14ac:dyDescent="0.15">
      <c r="A725" s="59"/>
    </row>
    <row r="726" spans="1:1" ht="13" x14ac:dyDescent="0.15">
      <c r="A726" s="59"/>
    </row>
    <row r="727" spans="1:1" ht="13" x14ac:dyDescent="0.15">
      <c r="A727" s="59"/>
    </row>
    <row r="728" spans="1:1" ht="13" x14ac:dyDescent="0.15">
      <c r="A728" s="59"/>
    </row>
    <row r="729" spans="1:1" ht="13" x14ac:dyDescent="0.15">
      <c r="A729" s="59"/>
    </row>
    <row r="730" spans="1:1" ht="13" x14ac:dyDescent="0.15">
      <c r="A730" s="59"/>
    </row>
    <row r="731" spans="1:1" ht="13" x14ac:dyDescent="0.15">
      <c r="A731" s="59"/>
    </row>
    <row r="732" spans="1:1" ht="13" x14ac:dyDescent="0.15">
      <c r="A732" s="59"/>
    </row>
    <row r="733" spans="1:1" ht="13" x14ac:dyDescent="0.15">
      <c r="A733" s="59"/>
    </row>
    <row r="734" spans="1:1" ht="13" x14ac:dyDescent="0.15">
      <c r="A734" s="59"/>
    </row>
    <row r="735" spans="1:1" ht="13" x14ac:dyDescent="0.15">
      <c r="A735" s="59"/>
    </row>
    <row r="736" spans="1:1" ht="13" x14ac:dyDescent="0.15">
      <c r="A736" s="59"/>
    </row>
    <row r="737" spans="1:1" ht="13" x14ac:dyDescent="0.15">
      <c r="A737" s="59"/>
    </row>
    <row r="738" spans="1:1" ht="13" x14ac:dyDescent="0.15">
      <c r="A738" s="59"/>
    </row>
    <row r="739" spans="1:1" ht="13" x14ac:dyDescent="0.15">
      <c r="A739" s="59"/>
    </row>
    <row r="740" spans="1:1" ht="13" x14ac:dyDescent="0.15">
      <c r="A740" s="59"/>
    </row>
    <row r="741" spans="1:1" ht="13" x14ac:dyDescent="0.15">
      <c r="A741" s="59"/>
    </row>
    <row r="742" spans="1:1" ht="13" x14ac:dyDescent="0.15">
      <c r="A742" s="59"/>
    </row>
    <row r="743" spans="1:1" ht="13" x14ac:dyDescent="0.15">
      <c r="A743" s="59"/>
    </row>
    <row r="744" spans="1:1" ht="13" x14ac:dyDescent="0.15">
      <c r="A744" s="59"/>
    </row>
    <row r="745" spans="1:1" ht="13" x14ac:dyDescent="0.15">
      <c r="A745" s="59"/>
    </row>
    <row r="746" spans="1:1" ht="13" x14ac:dyDescent="0.15">
      <c r="A746" s="59"/>
    </row>
    <row r="747" spans="1:1" ht="13" x14ac:dyDescent="0.15">
      <c r="A747" s="59"/>
    </row>
    <row r="748" spans="1:1" ht="13" x14ac:dyDescent="0.15">
      <c r="A748" s="59"/>
    </row>
    <row r="749" spans="1:1" ht="13" x14ac:dyDescent="0.15">
      <c r="A749" s="59"/>
    </row>
    <row r="750" spans="1:1" ht="13" x14ac:dyDescent="0.15">
      <c r="A750" s="59"/>
    </row>
    <row r="751" spans="1:1" ht="13" x14ac:dyDescent="0.15">
      <c r="A751" s="59"/>
    </row>
    <row r="752" spans="1:1" ht="13" x14ac:dyDescent="0.15">
      <c r="A752" s="59"/>
    </row>
    <row r="753" spans="1:1" ht="13" x14ac:dyDescent="0.15">
      <c r="A753" s="59"/>
    </row>
    <row r="754" spans="1:1" ht="13" x14ac:dyDescent="0.15">
      <c r="A754" s="59"/>
    </row>
    <row r="755" spans="1:1" ht="13" x14ac:dyDescent="0.15">
      <c r="A755" s="59"/>
    </row>
    <row r="756" spans="1:1" ht="13" x14ac:dyDescent="0.15">
      <c r="A756" s="59"/>
    </row>
    <row r="757" spans="1:1" ht="13" x14ac:dyDescent="0.15">
      <c r="A757" s="59"/>
    </row>
    <row r="758" spans="1:1" ht="13" x14ac:dyDescent="0.15">
      <c r="A758" s="59"/>
    </row>
    <row r="759" spans="1:1" ht="13" x14ac:dyDescent="0.15">
      <c r="A759" s="59"/>
    </row>
    <row r="760" spans="1:1" ht="13" x14ac:dyDescent="0.15">
      <c r="A760" s="59"/>
    </row>
    <row r="761" spans="1:1" ht="13" x14ac:dyDescent="0.15">
      <c r="A761" s="59"/>
    </row>
    <row r="762" spans="1:1" ht="13" x14ac:dyDescent="0.15">
      <c r="A762" s="59"/>
    </row>
    <row r="763" spans="1:1" ht="13" x14ac:dyDescent="0.15">
      <c r="A763" s="59"/>
    </row>
    <row r="764" spans="1:1" ht="13" x14ac:dyDescent="0.15">
      <c r="A764" s="59"/>
    </row>
    <row r="765" spans="1:1" ht="13" x14ac:dyDescent="0.15">
      <c r="A765" s="59"/>
    </row>
    <row r="766" spans="1:1" ht="13" x14ac:dyDescent="0.15">
      <c r="A766" s="59"/>
    </row>
    <row r="767" spans="1:1" ht="13" x14ac:dyDescent="0.15">
      <c r="A767" s="59"/>
    </row>
    <row r="768" spans="1:1" ht="13" x14ac:dyDescent="0.15">
      <c r="A768" s="59"/>
    </row>
    <row r="769" spans="1:1" ht="13" x14ac:dyDescent="0.15">
      <c r="A769" s="59"/>
    </row>
    <row r="770" spans="1:1" ht="13" x14ac:dyDescent="0.15">
      <c r="A770" s="59"/>
    </row>
    <row r="771" spans="1:1" ht="13" x14ac:dyDescent="0.15">
      <c r="A771" s="59"/>
    </row>
    <row r="772" spans="1:1" ht="13" x14ac:dyDescent="0.15">
      <c r="A772" s="59"/>
    </row>
    <row r="773" spans="1:1" ht="13" x14ac:dyDescent="0.15">
      <c r="A773" s="59"/>
    </row>
    <row r="774" spans="1:1" ht="13" x14ac:dyDescent="0.15">
      <c r="A774" s="59"/>
    </row>
    <row r="775" spans="1:1" ht="13" x14ac:dyDescent="0.15">
      <c r="A775" s="59"/>
    </row>
    <row r="776" spans="1:1" ht="13" x14ac:dyDescent="0.15">
      <c r="A776" s="59"/>
    </row>
    <row r="777" spans="1:1" ht="13" x14ac:dyDescent="0.15">
      <c r="A777" s="59"/>
    </row>
    <row r="778" spans="1:1" ht="13" x14ac:dyDescent="0.15">
      <c r="A778" s="59"/>
    </row>
    <row r="779" spans="1:1" ht="13" x14ac:dyDescent="0.15">
      <c r="A779" s="59"/>
    </row>
    <row r="780" spans="1:1" ht="13" x14ac:dyDescent="0.15">
      <c r="A780" s="59"/>
    </row>
    <row r="781" spans="1:1" ht="13" x14ac:dyDescent="0.15">
      <c r="A781" s="59"/>
    </row>
    <row r="782" spans="1:1" ht="13" x14ac:dyDescent="0.15">
      <c r="A782" s="59"/>
    </row>
    <row r="783" spans="1:1" ht="13" x14ac:dyDescent="0.15">
      <c r="A783" s="59"/>
    </row>
    <row r="784" spans="1:1" ht="13" x14ac:dyDescent="0.15">
      <c r="A784" s="59"/>
    </row>
    <row r="785" spans="1:1" ht="13" x14ac:dyDescent="0.15">
      <c r="A785" s="59"/>
    </row>
    <row r="786" spans="1:1" ht="13" x14ac:dyDescent="0.15">
      <c r="A786" s="59"/>
    </row>
    <row r="787" spans="1:1" ht="13" x14ac:dyDescent="0.15">
      <c r="A787" s="59"/>
    </row>
    <row r="788" spans="1:1" ht="13" x14ac:dyDescent="0.15">
      <c r="A788" s="59"/>
    </row>
    <row r="789" spans="1:1" ht="13" x14ac:dyDescent="0.15">
      <c r="A789" s="59"/>
    </row>
    <row r="790" spans="1:1" ht="13" x14ac:dyDescent="0.15">
      <c r="A790" s="59"/>
    </row>
    <row r="791" spans="1:1" ht="13" x14ac:dyDescent="0.15">
      <c r="A791" s="59"/>
    </row>
    <row r="792" spans="1:1" ht="13" x14ac:dyDescent="0.15">
      <c r="A792" s="59"/>
    </row>
    <row r="793" spans="1:1" ht="13" x14ac:dyDescent="0.15">
      <c r="A793" s="59"/>
    </row>
    <row r="794" spans="1:1" ht="13" x14ac:dyDescent="0.15">
      <c r="A794" s="59"/>
    </row>
    <row r="795" spans="1:1" ht="13" x14ac:dyDescent="0.15">
      <c r="A795" s="59"/>
    </row>
    <row r="796" spans="1:1" ht="13" x14ac:dyDescent="0.15">
      <c r="A796" s="59"/>
    </row>
    <row r="797" spans="1:1" ht="13" x14ac:dyDescent="0.15">
      <c r="A797" s="59"/>
    </row>
    <row r="798" spans="1:1" ht="13" x14ac:dyDescent="0.15">
      <c r="A798" s="59"/>
    </row>
    <row r="799" spans="1:1" ht="13" x14ac:dyDescent="0.15">
      <c r="A799" s="59"/>
    </row>
    <row r="800" spans="1:1" ht="13" x14ac:dyDescent="0.15">
      <c r="A800" s="59"/>
    </row>
    <row r="801" spans="1:1" ht="13" x14ac:dyDescent="0.15">
      <c r="A801" s="59"/>
    </row>
    <row r="802" spans="1:1" ht="13" x14ac:dyDescent="0.15">
      <c r="A802" s="59"/>
    </row>
    <row r="803" spans="1:1" ht="13" x14ac:dyDescent="0.15">
      <c r="A803" s="59"/>
    </row>
    <row r="804" spans="1:1" ht="13" x14ac:dyDescent="0.15">
      <c r="A804" s="59"/>
    </row>
    <row r="805" spans="1:1" ht="13" x14ac:dyDescent="0.15">
      <c r="A805" s="59"/>
    </row>
    <row r="806" spans="1:1" ht="13" x14ac:dyDescent="0.15">
      <c r="A806" s="59"/>
    </row>
    <row r="807" spans="1:1" ht="13" x14ac:dyDescent="0.15">
      <c r="A807" s="59"/>
    </row>
    <row r="808" spans="1:1" ht="13" x14ac:dyDescent="0.15">
      <c r="A808" s="59"/>
    </row>
    <row r="809" spans="1:1" ht="13" x14ac:dyDescent="0.15">
      <c r="A809" s="59"/>
    </row>
    <row r="810" spans="1:1" ht="13" x14ac:dyDescent="0.15">
      <c r="A810" s="59"/>
    </row>
    <row r="811" spans="1:1" ht="13" x14ac:dyDescent="0.15">
      <c r="A811" s="59"/>
    </row>
    <row r="812" spans="1:1" ht="13" x14ac:dyDescent="0.15">
      <c r="A812" s="59"/>
    </row>
    <row r="813" spans="1:1" ht="13" x14ac:dyDescent="0.15">
      <c r="A813" s="59"/>
    </row>
    <row r="814" spans="1:1" ht="13" x14ac:dyDescent="0.15">
      <c r="A814" s="59"/>
    </row>
    <row r="815" spans="1:1" ht="13" x14ac:dyDescent="0.15">
      <c r="A815" s="59"/>
    </row>
    <row r="816" spans="1:1" ht="13" x14ac:dyDescent="0.15">
      <c r="A816" s="59"/>
    </row>
    <row r="817" spans="1:1" ht="13" x14ac:dyDescent="0.15">
      <c r="A817" s="59"/>
    </row>
    <row r="818" spans="1:1" ht="13" x14ac:dyDescent="0.15">
      <c r="A818" s="59"/>
    </row>
    <row r="819" spans="1:1" ht="13" x14ac:dyDescent="0.15">
      <c r="A819" s="59"/>
    </row>
    <row r="820" spans="1:1" ht="13" x14ac:dyDescent="0.15">
      <c r="A820" s="59"/>
    </row>
    <row r="821" spans="1:1" ht="13" x14ac:dyDescent="0.15">
      <c r="A821" s="59"/>
    </row>
    <row r="822" spans="1:1" ht="13" x14ac:dyDescent="0.15">
      <c r="A822" s="59"/>
    </row>
    <row r="823" spans="1:1" ht="13" x14ac:dyDescent="0.15">
      <c r="A823" s="59"/>
    </row>
    <row r="824" spans="1:1" ht="13" x14ac:dyDescent="0.15">
      <c r="A824" s="59"/>
    </row>
    <row r="825" spans="1:1" ht="13" x14ac:dyDescent="0.15">
      <c r="A825" s="59"/>
    </row>
    <row r="826" spans="1:1" ht="13" x14ac:dyDescent="0.15">
      <c r="A826" s="59"/>
    </row>
    <row r="827" spans="1:1" ht="13" x14ac:dyDescent="0.15">
      <c r="A827" s="59"/>
    </row>
    <row r="828" spans="1:1" ht="13" x14ac:dyDescent="0.15">
      <c r="A828" s="59"/>
    </row>
    <row r="829" spans="1:1" ht="13" x14ac:dyDescent="0.15">
      <c r="A829" s="59"/>
    </row>
    <row r="830" spans="1:1" ht="13" x14ac:dyDescent="0.15">
      <c r="A830" s="59"/>
    </row>
    <row r="831" spans="1:1" ht="13" x14ac:dyDescent="0.15">
      <c r="A831" s="59"/>
    </row>
    <row r="832" spans="1:1" ht="13" x14ac:dyDescent="0.15">
      <c r="A832" s="59"/>
    </row>
    <row r="833" spans="1:1" ht="13" x14ac:dyDescent="0.15">
      <c r="A833" s="59"/>
    </row>
    <row r="834" spans="1:1" ht="13" x14ac:dyDescent="0.15">
      <c r="A834" s="59"/>
    </row>
    <row r="835" spans="1:1" ht="13" x14ac:dyDescent="0.15">
      <c r="A835" s="59"/>
    </row>
    <row r="836" spans="1:1" ht="13" x14ac:dyDescent="0.15">
      <c r="A836" s="59"/>
    </row>
    <row r="837" spans="1:1" ht="13" x14ac:dyDescent="0.15">
      <c r="A837" s="59"/>
    </row>
    <row r="838" spans="1:1" ht="13" x14ac:dyDescent="0.15">
      <c r="A838" s="59"/>
    </row>
    <row r="839" spans="1:1" ht="13" x14ac:dyDescent="0.15">
      <c r="A839" s="59"/>
    </row>
    <row r="840" spans="1:1" ht="13" x14ac:dyDescent="0.15">
      <c r="A840" s="59"/>
    </row>
    <row r="841" spans="1:1" ht="13" x14ac:dyDescent="0.15">
      <c r="A841" s="59"/>
    </row>
    <row r="842" spans="1:1" ht="13" x14ac:dyDescent="0.15">
      <c r="A842" s="59"/>
    </row>
    <row r="843" spans="1:1" ht="13" x14ac:dyDescent="0.15">
      <c r="A843" s="59"/>
    </row>
    <row r="844" spans="1:1" ht="13" x14ac:dyDescent="0.15">
      <c r="A844" s="59"/>
    </row>
    <row r="845" spans="1:1" ht="13" x14ac:dyDescent="0.15">
      <c r="A845" s="59"/>
    </row>
    <row r="846" spans="1:1" ht="13" x14ac:dyDescent="0.15">
      <c r="A846" s="59"/>
    </row>
    <row r="847" spans="1:1" ht="13" x14ac:dyDescent="0.15">
      <c r="A847" s="59"/>
    </row>
    <row r="848" spans="1:1" ht="13" x14ac:dyDescent="0.15">
      <c r="A848" s="59"/>
    </row>
    <row r="849" spans="1:1" ht="13" x14ac:dyDescent="0.15">
      <c r="A849" s="59"/>
    </row>
    <row r="850" spans="1:1" ht="13" x14ac:dyDescent="0.15">
      <c r="A850" s="59"/>
    </row>
    <row r="851" spans="1:1" ht="13" x14ac:dyDescent="0.15">
      <c r="A851" s="59"/>
    </row>
    <row r="852" spans="1:1" ht="13" x14ac:dyDescent="0.15">
      <c r="A852" s="59"/>
    </row>
    <row r="853" spans="1:1" ht="13" x14ac:dyDescent="0.15">
      <c r="A853" s="59"/>
    </row>
    <row r="854" spans="1:1" ht="13" x14ac:dyDescent="0.15">
      <c r="A854" s="59"/>
    </row>
    <row r="855" spans="1:1" ht="13" x14ac:dyDescent="0.15">
      <c r="A855" s="59"/>
    </row>
    <row r="856" spans="1:1" ht="13" x14ac:dyDescent="0.15">
      <c r="A856" s="59"/>
    </row>
    <row r="857" spans="1:1" ht="13" x14ac:dyDescent="0.15">
      <c r="A857" s="59"/>
    </row>
    <row r="858" spans="1:1" ht="13" x14ac:dyDescent="0.15">
      <c r="A858" s="59"/>
    </row>
    <row r="859" spans="1:1" ht="13" x14ac:dyDescent="0.15">
      <c r="A859" s="59"/>
    </row>
    <row r="860" spans="1:1" ht="13" x14ac:dyDescent="0.15">
      <c r="A860" s="59"/>
    </row>
    <row r="861" spans="1:1" ht="13" x14ac:dyDescent="0.15">
      <c r="A861" s="59"/>
    </row>
    <row r="862" spans="1:1" ht="13" x14ac:dyDescent="0.15">
      <c r="A862" s="59"/>
    </row>
    <row r="863" spans="1:1" ht="13" x14ac:dyDescent="0.15">
      <c r="A863" s="59"/>
    </row>
    <row r="864" spans="1:1" ht="13" x14ac:dyDescent="0.15">
      <c r="A864" s="59"/>
    </row>
    <row r="865" spans="1:1" ht="13" x14ac:dyDescent="0.15">
      <c r="A865" s="59"/>
    </row>
    <row r="866" spans="1:1" ht="13" x14ac:dyDescent="0.15">
      <c r="A866" s="59"/>
    </row>
    <row r="867" spans="1:1" ht="13" x14ac:dyDescent="0.15">
      <c r="A867" s="59"/>
    </row>
    <row r="868" spans="1:1" ht="13" x14ac:dyDescent="0.15">
      <c r="A868" s="59"/>
    </row>
    <row r="869" spans="1:1" ht="13" x14ac:dyDescent="0.15">
      <c r="A869" s="59"/>
    </row>
    <row r="870" spans="1:1" ht="13" x14ac:dyDescent="0.15">
      <c r="A870" s="59"/>
    </row>
    <row r="871" spans="1:1" ht="13" x14ac:dyDescent="0.15">
      <c r="A871" s="59"/>
    </row>
    <row r="872" spans="1:1" ht="13" x14ac:dyDescent="0.15">
      <c r="A872" s="59"/>
    </row>
    <row r="873" spans="1:1" ht="13" x14ac:dyDescent="0.15">
      <c r="A873" s="59"/>
    </row>
    <row r="874" spans="1:1" ht="13" x14ac:dyDescent="0.15">
      <c r="A874" s="59"/>
    </row>
    <row r="875" spans="1:1" ht="13" x14ac:dyDescent="0.15">
      <c r="A875" s="59"/>
    </row>
    <row r="876" spans="1:1" ht="13" x14ac:dyDescent="0.15">
      <c r="A876" s="59"/>
    </row>
    <row r="877" spans="1:1" ht="13" x14ac:dyDescent="0.15">
      <c r="A877" s="59"/>
    </row>
    <row r="878" spans="1:1" ht="13" x14ac:dyDescent="0.15">
      <c r="A878" s="59"/>
    </row>
    <row r="879" spans="1:1" ht="13" x14ac:dyDescent="0.15">
      <c r="A879" s="59"/>
    </row>
    <row r="880" spans="1:1" ht="13" x14ac:dyDescent="0.15">
      <c r="A880" s="59"/>
    </row>
    <row r="881" spans="1:1" ht="13" x14ac:dyDescent="0.15">
      <c r="A881" s="59"/>
    </row>
    <row r="882" spans="1:1" ht="13" x14ac:dyDescent="0.15">
      <c r="A882" s="59"/>
    </row>
    <row r="883" spans="1:1" ht="13" x14ac:dyDescent="0.15">
      <c r="A883" s="59"/>
    </row>
    <row r="884" spans="1:1" ht="13" x14ac:dyDescent="0.15">
      <c r="A884" s="59"/>
    </row>
    <row r="885" spans="1:1" ht="13" x14ac:dyDescent="0.15">
      <c r="A885" s="59"/>
    </row>
    <row r="886" spans="1:1" ht="13" x14ac:dyDescent="0.15">
      <c r="A886" s="59"/>
    </row>
    <row r="887" spans="1:1" ht="13" x14ac:dyDescent="0.15">
      <c r="A887" s="59"/>
    </row>
    <row r="888" spans="1:1" ht="13" x14ac:dyDescent="0.15">
      <c r="A888" s="59"/>
    </row>
    <row r="889" spans="1:1" ht="13" x14ac:dyDescent="0.15">
      <c r="A889" s="59"/>
    </row>
    <row r="890" spans="1:1" ht="13" x14ac:dyDescent="0.15">
      <c r="A890" s="59"/>
    </row>
    <row r="891" spans="1:1" ht="13" x14ac:dyDescent="0.15">
      <c r="A891" s="59"/>
    </row>
    <row r="892" spans="1:1" ht="13" x14ac:dyDescent="0.15">
      <c r="A892" s="59"/>
    </row>
    <row r="893" spans="1:1" ht="13" x14ac:dyDescent="0.15">
      <c r="A893" s="59"/>
    </row>
    <row r="894" spans="1:1" ht="13" x14ac:dyDescent="0.15">
      <c r="A894" s="59"/>
    </row>
    <row r="895" spans="1:1" ht="13" x14ac:dyDescent="0.15">
      <c r="A895" s="59"/>
    </row>
    <row r="896" spans="1:1" ht="13" x14ac:dyDescent="0.15">
      <c r="A896" s="59"/>
    </row>
    <row r="897" spans="1:1" ht="13" x14ac:dyDescent="0.15">
      <c r="A897" s="59"/>
    </row>
    <row r="898" spans="1:1" ht="13" x14ac:dyDescent="0.15">
      <c r="A898" s="59"/>
    </row>
    <row r="899" spans="1:1" ht="13" x14ac:dyDescent="0.15">
      <c r="A899" s="59"/>
    </row>
    <row r="900" spans="1:1" ht="13" x14ac:dyDescent="0.15">
      <c r="A900" s="59"/>
    </row>
    <row r="901" spans="1:1" ht="13" x14ac:dyDescent="0.15">
      <c r="A901" s="59"/>
    </row>
    <row r="902" spans="1:1" ht="13" x14ac:dyDescent="0.15">
      <c r="A902" s="59"/>
    </row>
    <row r="903" spans="1:1" ht="13" x14ac:dyDescent="0.15">
      <c r="A903" s="59"/>
    </row>
    <row r="904" spans="1:1" ht="13" x14ac:dyDescent="0.15">
      <c r="A904" s="59"/>
    </row>
    <row r="905" spans="1:1" ht="13" x14ac:dyDescent="0.15">
      <c r="A905" s="59"/>
    </row>
    <row r="906" spans="1:1" ht="13" x14ac:dyDescent="0.15">
      <c r="A906" s="59"/>
    </row>
    <row r="907" spans="1:1" ht="13" x14ac:dyDescent="0.15">
      <c r="A907" s="59"/>
    </row>
    <row r="908" spans="1:1" ht="13" x14ac:dyDescent="0.15">
      <c r="A908" s="59"/>
    </row>
    <row r="909" spans="1:1" ht="13" x14ac:dyDescent="0.15">
      <c r="A909" s="59"/>
    </row>
    <row r="910" spans="1:1" ht="13" x14ac:dyDescent="0.15">
      <c r="A910" s="59"/>
    </row>
    <row r="911" spans="1:1" ht="13" x14ac:dyDescent="0.15">
      <c r="A911" s="59"/>
    </row>
    <row r="912" spans="1:1" ht="13" x14ac:dyDescent="0.15">
      <c r="A912" s="59"/>
    </row>
    <row r="913" spans="1:1" ht="13" x14ac:dyDescent="0.15">
      <c r="A913" s="59"/>
    </row>
    <row r="914" spans="1:1" ht="13" x14ac:dyDescent="0.15">
      <c r="A914" s="59"/>
    </row>
    <row r="915" spans="1:1" ht="13" x14ac:dyDescent="0.15">
      <c r="A915" s="59"/>
    </row>
    <row r="916" spans="1:1" ht="13" x14ac:dyDescent="0.15">
      <c r="A916" s="59"/>
    </row>
    <row r="917" spans="1:1" ht="13" x14ac:dyDescent="0.15">
      <c r="A917" s="59"/>
    </row>
    <row r="918" spans="1:1" ht="13" x14ac:dyDescent="0.15">
      <c r="A918" s="59"/>
    </row>
    <row r="919" spans="1:1" ht="13" x14ac:dyDescent="0.15">
      <c r="A919" s="59"/>
    </row>
    <row r="920" spans="1:1" ht="13" x14ac:dyDescent="0.15">
      <c r="A920" s="59"/>
    </row>
    <row r="921" spans="1:1" ht="13" x14ac:dyDescent="0.15">
      <c r="A921" s="59"/>
    </row>
    <row r="922" spans="1:1" ht="13" x14ac:dyDescent="0.15">
      <c r="A922" s="59"/>
    </row>
    <row r="923" spans="1:1" ht="13" x14ac:dyDescent="0.15">
      <c r="A923" s="59"/>
    </row>
    <row r="924" spans="1:1" ht="13" x14ac:dyDescent="0.15">
      <c r="A924" s="59"/>
    </row>
    <row r="925" spans="1:1" ht="13" x14ac:dyDescent="0.15">
      <c r="A925" s="59"/>
    </row>
    <row r="926" spans="1:1" ht="13" x14ac:dyDescent="0.15">
      <c r="A926" s="59"/>
    </row>
    <row r="927" spans="1:1" ht="13" x14ac:dyDescent="0.15">
      <c r="A927" s="59"/>
    </row>
    <row r="928" spans="1:1" ht="13" x14ac:dyDescent="0.15">
      <c r="A928" s="59"/>
    </row>
    <row r="929" spans="1:1" ht="13" x14ac:dyDescent="0.15">
      <c r="A929" s="59"/>
    </row>
    <row r="930" spans="1:1" ht="13" x14ac:dyDescent="0.15">
      <c r="A930" s="59"/>
    </row>
    <row r="931" spans="1:1" ht="13" x14ac:dyDescent="0.15">
      <c r="A931" s="59"/>
    </row>
    <row r="932" spans="1:1" ht="13" x14ac:dyDescent="0.15">
      <c r="A932" s="59"/>
    </row>
    <row r="933" spans="1:1" ht="13" x14ac:dyDescent="0.15">
      <c r="A933" s="59"/>
    </row>
    <row r="934" spans="1:1" ht="13" x14ac:dyDescent="0.15">
      <c r="A934" s="59"/>
    </row>
    <row r="935" spans="1:1" ht="13" x14ac:dyDescent="0.15">
      <c r="A935" s="59"/>
    </row>
    <row r="936" spans="1:1" ht="13" x14ac:dyDescent="0.15">
      <c r="A936" s="59"/>
    </row>
    <row r="937" spans="1:1" ht="13" x14ac:dyDescent="0.15">
      <c r="A937" s="59"/>
    </row>
    <row r="938" spans="1:1" ht="13" x14ac:dyDescent="0.15">
      <c r="A938" s="59"/>
    </row>
    <row r="939" spans="1:1" ht="13" x14ac:dyDescent="0.15">
      <c r="A939" s="59"/>
    </row>
    <row r="940" spans="1:1" ht="13" x14ac:dyDescent="0.15">
      <c r="A940" s="59"/>
    </row>
    <row r="941" spans="1:1" ht="13" x14ac:dyDescent="0.15">
      <c r="A941" s="59"/>
    </row>
    <row r="942" spans="1:1" ht="13" x14ac:dyDescent="0.15">
      <c r="A942" s="59"/>
    </row>
    <row r="943" spans="1:1" ht="13" x14ac:dyDescent="0.15">
      <c r="A943" s="59"/>
    </row>
    <row r="944" spans="1:1" ht="13" x14ac:dyDescent="0.15">
      <c r="A944" s="59"/>
    </row>
    <row r="945" spans="1:1" ht="13" x14ac:dyDescent="0.15">
      <c r="A945" s="59"/>
    </row>
    <row r="946" spans="1:1" ht="13" x14ac:dyDescent="0.15">
      <c r="A946" s="59"/>
    </row>
    <row r="947" spans="1:1" ht="13" x14ac:dyDescent="0.15">
      <c r="A947" s="59"/>
    </row>
    <row r="948" spans="1:1" ht="13" x14ac:dyDescent="0.15">
      <c r="A948" s="59"/>
    </row>
    <row r="949" spans="1:1" ht="13" x14ac:dyDescent="0.15">
      <c r="A949" s="59"/>
    </row>
    <row r="950" spans="1:1" ht="13" x14ac:dyDescent="0.15">
      <c r="A950" s="59"/>
    </row>
    <row r="951" spans="1:1" ht="13" x14ac:dyDescent="0.15">
      <c r="A951" s="59"/>
    </row>
    <row r="952" spans="1:1" ht="13" x14ac:dyDescent="0.15">
      <c r="A952" s="59"/>
    </row>
    <row r="953" spans="1:1" ht="13" x14ac:dyDescent="0.15">
      <c r="A953" s="59"/>
    </row>
    <row r="954" spans="1:1" ht="13" x14ac:dyDescent="0.15">
      <c r="A954" s="59"/>
    </row>
    <row r="955" spans="1:1" ht="13" x14ac:dyDescent="0.15">
      <c r="A955" s="59"/>
    </row>
    <row r="956" spans="1:1" ht="13" x14ac:dyDescent="0.15">
      <c r="A956" s="59"/>
    </row>
    <row r="957" spans="1:1" ht="13" x14ac:dyDescent="0.15">
      <c r="A957" s="59"/>
    </row>
    <row r="958" spans="1:1" ht="13" x14ac:dyDescent="0.15">
      <c r="A958" s="59"/>
    </row>
    <row r="959" spans="1:1" ht="13" x14ac:dyDescent="0.15">
      <c r="A959" s="59"/>
    </row>
    <row r="960" spans="1:1" ht="13" x14ac:dyDescent="0.15">
      <c r="A960" s="59"/>
    </row>
    <row r="961" spans="1:1" ht="13" x14ac:dyDescent="0.15">
      <c r="A961" s="59"/>
    </row>
    <row r="962" spans="1:1" ht="13" x14ac:dyDescent="0.15">
      <c r="A962" s="59"/>
    </row>
    <row r="963" spans="1:1" ht="13" x14ac:dyDescent="0.15">
      <c r="A963" s="59"/>
    </row>
    <row r="964" spans="1:1" ht="13" x14ac:dyDescent="0.15">
      <c r="A964" s="59"/>
    </row>
    <row r="965" spans="1:1" ht="13" x14ac:dyDescent="0.15">
      <c r="A965" s="59"/>
    </row>
    <row r="966" spans="1:1" ht="13" x14ac:dyDescent="0.15">
      <c r="A966" s="59"/>
    </row>
    <row r="967" spans="1:1" ht="13" x14ac:dyDescent="0.15">
      <c r="A967" s="59"/>
    </row>
    <row r="968" spans="1:1" ht="13" x14ac:dyDescent="0.15">
      <c r="A968" s="59"/>
    </row>
    <row r="969" spans="1:1" ht="13" x14ac:dyDescent="0.15">
      <c r="A969" s="59"/>
    </row>
    <row r="970" spans="1:1" ht="13" x14ac:dyDescent="0.15">
      <c r="A970" s="59"/>
    </row>
    <row r="971" spans="1:1" ht="13" x14ac:dyDescent="0.15">
      <c r="A971" s="59"/>
    </row>
    <row r="972" spans="1:1" ht="13" x14ac:dyDescent="0.15">
      <c r="A972" s="59"/>
    </row>
    <row r="973" spans="1:1" ht="13" x14ac:dyDescent="0.15">
      <c r="A973" s="59"/>
    </row>
    <row r="974" spans="1:1" ht="13" x14ac:dyDescent="0.15">
      <c r="A974" s="59"/>
    </row>
    <row r="975" spans="1:1" ht="13" x14ac:dyDescent="0.15">
      <c r="A975" s="59"/>
    </row>
    <row r="976" spans="1:1" ht="13" x14ac:dyDescent="0.15">
      <c r="A976" s="59"/>
    </row>
    <row r="977" spans="1:1" ht="13" x14ac:dyDescent="0.15">
      <c r="A977" s="59"/>
    </row>
    <row r="978" spans="1:1" ht="13" x14ac:dyDescent="0.15">
      <c r="A978" s="59"/>
    </row>
    <row r="979" spans="1:1" ht="13" x14ac:dyDescent="0.15">
      <c r="A979" s="59"/>
    </row>
    <row r="980" spans="1:1" ht="13" x14ac:dyDescent="0.15">
      <c r="A980" s="59"/>
    </row>
    <row r="981" spans="1:1" ht="13" x14ac:dyDescent="0.15">
      <c r="A981" s="59"/>
    </row>
    <row r="982" spans="1:1" ht="13" x14ac:dyDescent="0.15">
      <c r="A982" s="59"/>
    </row>
    <row r="983" spans="1:1" ht="13" x14ac:dyDescent="0.15">
      <c r="A983" s="59"/>
    </row>
    <row r="984" spans="1:1" ht="13" x14ac:dyDescent="0.15">
      <c r="A984" s="59"/>
    </row>
    <row r="985" spans="1:1" ht="13" x14ac:dyDescent="0.15">
      <c r="A985" s="59"/>
    </row>
    <row r="986" spans="1:1" ht="13" x14ac:dyDescent="0.15">
      <c r="A986" s="59"/>
    </row>
    <row r="987" spans="1:1" ht="13" x14ac:dyDescent="0.15">
      <c r="A987" s="59"/>
    </row>
    <row r="988" spans="1:1" ht="13" x14ac:dyDescent="0.15">
      <c r="A988" s="59"/>
    </row>
    <row r="989" spans="1:1" ht="13" x14ac:dyDescent="0.15">
      <c r="A989" s="59"/>
    </row>
    <row r="990" spans="1:1" ht="13" x14ac:dyDescent="0.15">
      <c r="A990" s="59"/>
    </row>
    <row r="991" spans="1:1" ht="13" x14ac:dyDescent="0.15">
      <c r="A991" s="59"/>
    </row>
    <row r="992" spans="1:1" ht="13" x14ac:dyDescent="0.15">
      <c r="A992" s="59"/>
    </row>
    <row r="993" spans="1:1" ht="13" x14ac:dyDescent="0.15">
      <c r="A993" s="59"/>
    </row>
    <row r="994" spans="1:1" ht="13" x14ac:dyDescent="0.15">
      <c r="A994" s="59"/>
    </row>
    <row r="995" spans="1:1" ht="13" x14ac:dyDescent="0.15">
      <c r="A995" s="59"/>
    </row>
    <row r="996" spans="1:1" ht="13" x14ac:dyDescent="0.15">
      <c r="A996" s="59"/>
    </row>
    <row r="997" spans="1:1" ht="13" x14ac:dyDescent="0.15">
      <c r="A997" s="59"/>
    </row>
    <row r="998" spans="1:1" ht="13" x14ac:dyDescent="0.15">
      <c r="A998" s="59"/>
    </row>
    <row r="999" spans="1:1" ht="13" x14ac:dyDescent="0.15">
      <c r="A999" s="59"/>
    </row>
    <row r="1000" spans="1:1" ht="13" x14ac:dyDescent="0.15">
      <c r="A1000" s="59"/>
    </row>
    <row r="1001" spans="1:1" ht="13" x14ac:dyDescent="0.15">
      <c r="A1001" s="59"/>
    </row>
    <row r="1002" spans="1:1" ht="13" x14ac:dyDescent="0.15">
      <c r="A1002" s="59"/>
    </row>
    <row r="1003" spans="1:1" ht="13" x14ac:dyDescent="0.15">
      <c r="A1003" s="59"/>
    </row>
    <row r="1004" spans="1:1" ht="13" x14ac:dyDescent="0.15">
      <c r="A1004" s="59"/>
    </row>
    <row r="1005" spans="1:1" ht="13" x14ac:dyDescent="0.15">
      <c r="A1005" s="59"/>
    </row>
    <row r="1006" spans="1:1" ht="13" x14ac:dyDescent="0.15">
      <c r="A1006" s="59"/>
    </row>
    <row r="1007" spans="1:1" ht="13" x14ac:dyDescent="0.15">
      <c r="A1007" s="59"/>
    </row>
    <row r="1008" spans="1:1" ht="13" x14ac:dyDescent="0.15">
      <c r="A1008" s="59"/>
    </row>
    <row r="1009" spans="1:1" ht="13" x14ac:dyDescent="0.15">
      <c r="A1009" s="59"/>
    </row>
    <row r="1010" spans="1:1" ht="13" x14ac:dyDescent="0.15">
      <c r="A1010" s="59"/>
    </row>
    <row r="1011" spans="1:1" ht="13" x14ac:dyDescent="0.15">
      <c r="A1011" s="59"/>
    </row>
    <row r="1012" spans="1:1" ht="13" x14ac:dyDescent="0.15">
      <c r="A1012" s="59"/>
    </row>
    <row r="1013" spans="1:1" ht="13" x14ac:dyDescent="0.15">
      <c r="A1013" s="59"/>
    </row>
    <row r="1014" spans="1:1" ht="13" x14ac:dyDescent="0.15">
      <c r="A1014" s="59"/>
    </row>
    <row r="1015" spans="1:1" ht="13" x14ac:dyDescent="0.15">
      <c r="A1015" s="59"/>
    </row>
    <row r="1016" spans="1:1" ht="13" x14ac:dyDescent="0.15">
      <c r="A1016" s="59"/>
    </row>
    <row r="1017" spans="1:1" ht="13" x14ac:dyDescent="0.15">
      <c r="A1017" s="59"/>
    </row>
    <row r="1018" spans="1:1" ht="13" x14ac:dyDescent="0.15">
      <c r="A1018" s="59"/>
    </row>
    <row r="1019" spans="1:1" ht="13" x14ac:dyDescent="0.15">
      <c r="A1019" s="59"/>
    </row>
    <row r="1020" spans="1:1" ht="13" x14ac:dyDescent="0.15">
      <c r="A1020" s="59"/>
    </row>
    <row r="1021" spans="1:1" ht="13" x14ac:dyDescent="0.15">
      <c r="A1021" s="59"/>
    </row>
    <row r="1022" spans="1:1" ht="13" x14ac:dyDescent="0.15">
      <c r="A1022" s="59"/>
    </row>
    <row r="1023" spans="1:1" ht="13" x14ac:dyDescent="0.15">
      <c r="A1023" s="59"/>
    </row>
    <row r="1024" spans="1:1" ht="13" x14ac:dyDescent="0.15">
      <c r="A1024" s="59"/>
    </row>
    <row r="1025" spans="1:1" ht="13" x14ac:dyDescent="0.15">
      <c r="A1025" s="59"/>
    </row>
    <row r="1026" spans="1:1" ht="13" x14ac:dyDescent="0.15">
      <c r="A1026" s="59"/>
    </row>
    <row r="1027" spans="1:1" ht="13" x14ac:dyDescent="0.15">
      <c r="A1027" s="59"/>
    </row>
    <row r="1028" spans="1:1" ht="13" x14ac:dyDescent="0.15">
      <c r="A1028" s="59"/>
    </row>
    <row r="1029" spans="1:1" ht="13" x14ac:dyDescent="0.15">
      <c r="A1029" s="59"/>
    </row>
    <row r="1030" spans="1:1" ht="13" x14ac:dyDescent="0.15">
      <c r="A1030" s="59"/>
    </row>
    <row r="1031" spans="1:1" ht="13" x14ac:dyDescent="0.15">
      <c r="A1031" s="59"/>
    </row>
    <row r="1032" spans="1:1" ht="13" x14ac:dyDescent="0.15">
      <c r="A1032" s="59"/>
    </row>
    <row r="1033" spans="1:1" ht="13" x14ac:dyDescent="0.15">
      <c r="A1033" s="59"/>
    </row>
    <row r="1034" spans="1:1" ht="13" x14ac:dyDescent="0.15">
      <c r="A1034" s="59"/>
    </row>
    <row r="1035" spans="1:1" ht="13" x14ac:dyDescent="0.15">
      <c r="A1035" s="59"/>
    </row>
  </sheetData>
  <autoFilter ref="A1:H177" xr:uid="{00000000-0009-0000-0000-000000000000}"/>
  <dataValidations count="1">
    <dataValidation type="list" allowBlank="1" showErrorMessage="1" sqref="G2:G222" xr:uid="{00000000-0002-0000-0000-000000000000}">
      <formula1>"NO APROBADO,APROBADO,COTIZADO,SIN EFECTO"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1009"/>
  <sheetViews>
    <sheetView workbookViewId="0">
      <pane ySplit="1" topLeftCell="A2" activePane="bottomLeft" state="frozen"/>
      <selection pane="bottomLeft" activeCell="P1016" sqref="P1016"/>
    </sheetView>
  </sheetViews>
  <sheetFormatPr baseColWidth="10" defaultColWidth="12.6640625" defaultRowHeight="15.75" customHeight="1" x14ac:dyDescent="0.15"/>
  <cols>
    <col min="1" max="1" width="11.1640625" customWidth="1"/>
    <col min="2" max="2" width="5" customWidth="1"/>
    <col min="3" max="3" width="13.83203125" customWidth="1"/>
    <col min="4" max="4" width="10.5" customWidth="1"/>
    <col min="5" max="5" width="11.1640625" customWidth="1"/>
    <col min="6" max="7" width="11.33203125" customWidth="1"/>
    <col min="8" max="8" width="35.1640625" customWidth="1"/>
    <col min="9" max="9" width="27.83203125" customWidth="1"/>
    <col min="10" max="10" width="15.83203125" customWidth="1"/>
    <col min="11" max="11" width="16.5" customWidth="1"/>
    <col min="12" max="12" width="18.33203125" customWidth="1"/>
    <col min="13" max="13" width="16.33203125" customWidth="1"/>
    <col min="14" max="14" width="17.5" customWidth="1"/>
    <col min="15" max="15" width="19" customWidth="1"/>
    <col min="16" max="16" width="75.33203125" customWidth="1"/>
    <col min="17" max="17" width="13.33203125" customWidth="1"/>
    <col min="18" max="18" width="13.6640625" customWidth="1"/>
    <col min="19" max="19" width="10.6640625" customWidth="1"/>
    <col min="20" max="20" width="23" customWidth="1"/>
    <col min="21" max="21" width="17.6640625" customWidth="1"/>
    <col min="22" max="22" width="19.83203125" customWidth="1"/>
    <col min="23" max="23" width="18.6640625" customWidth="1"/>
    <col min="24" max="24" width="12.83203125" customWidth="1"/>
    <col min="25" max="25" width="11.5" customWidth="1"/>
    <col min="27" max="27" width="20.83203125" customWidth="1"/>
  </cols>
  <sheetData>
    <row r="1" spans="1:27" s="180" customFormat="1" ht="42.75" customHeight="1" x14ac:dyDescent="0.15">
      <c r="A1" s="60" t="s">
        <v>395</v>
      </c>
      <c r="B1" s="61" t="s">
        <v>396</v>
      </c>
      <c r="C1" s="60" t="s">
        <v>397</v>
      </c>
      <c r="D1" s="60" t="s">
        <v>398</v>
      </c>
      <c r="E1" s="60" t="s">
        <v>399</v>
      </c>
      <c r="F1" s="60" t="s">
        <v>400</v>
      </c>
      <c r="G1" s="60" t="s">
        <v>401</v>
      </c>
      <c r="H1" s="61" t="s">
        <v>2</v>
      </c>
      <c r="I1" s="61" t="s">
        <v>521</v>
      </c>
      <c r="J1" s="61" t="s">
        <v>402</v>
      </c>
      <c r="K1" s="60" t="s">
        <v>403</v>
      </c>
      <c r="L1" s="60" t="s">
        <v>404</v>
      </c>
      <c r="M1" s="61" t="s">
        <v>405</v>
      </c>
      <c r="N1" s="60" t="s">
        <v>406</v>
      </c>
      <c r="O1" s="61" t="s">
        <v>6</v>
      </c>
      <c r="P1" s="61" t="s">
        <v>522</v>
      </c>
      <c r="Q1" s="60" t="s">
        <v>407</v>
      </c>
      <c r="R1" s="60" t="s">
        <v>408</v>
      </c>
      <c r="S1" s="62" t="s">
        <v>409</v>
      </c>
      <c r="T1" s="62" t="s">
        <v>410</v>
      </c>
      <c r="U1" s="60" t="s">
        <v>411</v>
      </c>
      <c r="V1" s="60" t="s">
        <v>412</v>
      </c>
      <c r="W1" s="60" t="s">
        <v>413</v>
      </c>
      <c r="X1" s="60" t="s">
        <v>414</v>
      </c>
      <c r="Y1" s="179"/>
    </row>
    <row r="2" spans="1:27" ht="22.5" customHeight="1" x14ac:dyDescent="0.25">
      <c r="A2" s="63" t="s">
        <v>39</v>
      </c>
      <c r="B2" s="64">
        <v>310</v>
      </c>
      <c r="C2" s="65">
        <v>45617</v>
      </c>
      <c r="D2" s="65">
        <v>45665</v>
      </c>
      <c r="E2" s="65">
        <v>45695</v>
      </c>
      <c r="F2" s="65"/>
      <c r="G2" s="65">
        <v>45810</v>
      </c>
      <c r="H2" s="66" t="str">
        <f>VLOOKUP($B2,PRESUPUESTOS!$A$4:$H$1026,3,FALSE())</f>
        <v>ABSA - LA PLATA</v>
      </c>
      <c r="I2" s="67" t="str">
        <f>VLOOKUP($B2,PRESUPUESTOS!$A$4:$H$1026,5,FALSE())</f>
        <v>ARREGLOS EN GENERAL</v>
      </c>
      <c r="J2" s="68">
        <v>5136802</v>
      </c>
      <c r="K2" s="69">
        <v>69.75</v>
      </c>
      <c r="L2" s="70">
        <f t="shared" ref="L2:L35" si="0">M2*K2/100*0.65</f>
        <v>10083886.544690726</v>
      </c>
      <c r="M2" s="71">
        <f t="shared" ref="M2:M35" si="1">J2*1.05/(1-0.04-0.012-0.008-K2/100)</f>
        <v>22241823.092783514</v>
      </c>
      <c r="N2" s="70">
        <v>22243813</v>
      </c>
      <c r="O2" s="72" t="s">
        <v>415</v>
      </c>
      <c r="P2" s="73" t="s">
        <v>69</v>
      </c>
      <c r="Q2" s="72">
        <v>194</v>
      </c>
      <c r="R2" s="72">
        <v>227</v>
      </c>
      <c r="S2" s="74" t="s">
        <v>416</v>
      </c>
      <c r="T2" s="74" t="s">
        <v>417</v>
      </c>
      <c r="U2" s="72">
        <v>4500025133</v>
      </c>
      <c r="V2" s="72" t="s">
        <v>418</v>
      </c>
      <c r="W2" s="75">
        <v>45782</v>
      </c>
      <c r="X2" s="76"/>
      <c r="Z2" s="77" t="s">
        <v>419</v>
      </c>
    </row>
    <row r="3" spans="1:27" ht="22.5" customHeight="1" x14ac:dyDescent="0.25">
      <c r="A3" s="63" t="s">
        <v>34</v>
      </c>
      <c r="B3" s="64">
        <v>315</v>
      </c>
      <c r="C3" s="65">
        <v>45617</v>
      </c>
      <c r="D3" s="65">
        <v>45665</v>
      </c>
      <c r="E3" s="65">
        <v>45695</v>
      </c>
      <c r="F3" s="65"/>
      <c r="G3" s="65">
        <v>45810</v>
      </c>
      <c r="H3" s="66" t="str">
        <f>VLOOKUP($B3,PRESUPUESTOS!$A$4:$H$1026,3,FALSE())</f>
        <v>ABSA - LA PLATA</v>
      </c>
      <c r="I3" s="67" t="str">
        <f>VLOOKUP($B3,PRESUPUESTOS!$A$4:$H$1026,5,FALSE())</f>
        <v>REPARACION EN GENERAL</v>
      </c>
      <c r="J3" s="68">
        <v>3898795</v>
      </c>
      <c r="K3" s="69">
        <v>72.3</v>
      </c>
      <c r="L3" s="70">
        <f t="shared" si="0"/>
        <v>8865671.1786290314</v>
      </c>
      <c r="M3" s="71">
        <f t="shared" si="1"/>
        <v>18865137.096774194</v>
      </c>
      <c r="N3" s="70">
        <v>18883614</v>
      </c>
      <c r="O3" s="72" t="s">
        <v>415</v>
      </c>
      <c r="P3" s="73" t="s">
        <v>69</v>
      </c>
      <c r="Q3" s="72">
        <v>107</v>
      </c>
      <c r="R3" s="72">
        <v>260</v>
      </c>
      <c r="S3" s="74" t="s">
        <v>416</v>
      </c>
      <c r="T3" s="74" t="s">
        <v>417</v>
      </c>
      <c r="U3" s="72">
        <v>4500025133</v>
      </c>
      <c r="V3" s="72" t="s">
        <v>418</v>
      </c>
      <c r="W3" s="75">
        <v>45813</v>
      </c>
      <c r="X3" s="76"/>
      <c r="Z3" s="78" t="s">
        <v>420</v>
      </c>
    </row>
    <row r="4" spans="1:27" ht="22.5" customHeight="1" x14ac:dyDescent="0.25">
      <c r="A4" s="63" t="s">
        <v>421</v>
      </c>
      <c r="B4" s="64">
        <v>317</v>
      </c>
      <c r="C4" s="65">
        <v>45688</v>
      </c>
      <c r="D4" s="65">
        <v>45713</v>
      </c>
      <c r="E4" s="65">
        <v>45729</v>
      </c>
      <c r="F4" s="65"/>
      <c r="G4" s="65">
        <v>45729</v>
      </c>
      <c r="H4" s="66" t="str">
        <f>VLOOKUP($B4,PRESUPUESTOS!$A$4:$H$1026,3,FALSE())</f>
        <v>MUNICIPALIDAD TRES ARROYOS</v>
      </c>
      <c r="I4" s="67" t="str">
        <f>VLOOKUP($B4,PRESUPUESTOS!$A$4:$H$1026,5,FALSE())</f>
        <v>REPARACION EN GENERAL</v>
      </c>
      <c r="J4" s="68">
        <v>6923178</v>
      </c>
      <c r="K4" s="69">
        <v>57.6</v>
      </c>
      <c r="L4" s="70">
        <f t="shared" si="0"/>
        <v>7477032.240000003</v>
      </c>
      <c r="M4" s="71">
        <f t="shared" si="1"/>
        <v>19970705.769230776</v>
      </c>
      <c r="N4" s="70">
        <v>19980631</v>
      </c>
      <c r="O4" s="72" t="s">
        <v>415</v>
      </c>
      <c r="P4" s="73" t="s">
        <v>69</v>
      </c>
      <c r="Q4" s="72">
        <v>135</v>
      </c>
      <c r="R4" s="72">
        <v>132</v>
      </c>
      <c r="S4" s="74" t="s">
        <v>422</v>
      </c>
      <c r="T4" s="74" t="s">
        <v>24</v>
      </c>
      <c r="U4" s="72">
        <v>826</v>
      </c>
      <c r="V4" s="72" t="s">
        <v>423</v>
      </c>
      <c r="W4" s="75">
        <v>45804</v>
      </c>
      <c r="X4" s="76"/>
      <c r="Z4" s="79" t="s">
        <v>424</v>
      </c>
    </row>
    <row r="5" spans="1:27" ht="22.5" customHeight="1" x14ac:dyDescent="0.25">
      <c r="A5" s="63" t="s">
        <v>342</v>
      </c>
      <c r="B5" s="64">
        <v>322</v>
      </c>
      <c r="C5" s="65">
        <v>45665</v>
      </c>
      <c r="D5" s="65">
        <v>45680</v>
      </c>
      <c r="E5" s="65">
        <v>45692</v>
      </c>
      <c r="F5" s="65"/>
      <c r="G5" s="65">
        <v>45692</v>
      </c>
      <c r="H5" s="66" t="str">
        <f>VLOOKUP($B5,PRESUPUESTOS!$A$4:$H$1026,3,FALSE())</f>
        <v>ABSA - LINCONL</v>
      </c>
      <c r="I5" s="67" t="str">
        <f>VLOOKUP($B5,PRESUPUESTOS!$A$4:$H$1026,5,FALSE())</f>
        <v>VALVULA Y CODO GIRATORIO</v>
      </c>
      <c r="J5" s="68">
        <v>1497426</v>
      </c>
      <c r="K5" s="80">
        <v>51</v>
      </c>
      <c r="L5" s="70">
        <f t="shared" si="0"/>
        <v>1212131.523139535</v>
      </c>
      <c r="M5" s="71">
        <f t="shared" si="1"/>
        <v>3656505.3488372099</v>
      </c>
      <c r="N5" s="81">
        <v>3687332</v>
      </c>
      <c r="O5" s="72" t="s">
        <v>415</v>
      </c>
      <c r="P5" s="73" t="s">
        <v>217</v>
      </c>
      <c r="Q5" s="72" t="s">
        <v>164</v>
      </c>
      <c r="R5" s="72" t="s">
        <v>164</v>
      </c>
      <c r="S5" s="74" t="s">
        <v>422</v>
      </c>
      <c r="T5" s="74" t="s">
        <v>24</v>
      </c>
      <c r="U5" s="72">
        <v>4500025456</v>
      </c>
      <c r="V5" s="72" t="s">
        <v>425</v>
      </c>
      <c r="W5" s="75">
        <v>45721</v>
      </c>
      <c r="X5" s="76"/>
    </row>
    <row r="6" spans="1:27" ht="22.5" customHeight="1" x14ac:dyDescent="0.25">
      <c r="A6" s="63" t="s">
        <v>164</v>
      </c>
      <c r="B6" s="64">
        <v>324</v>
      </c>
      <c r="C6" s="65">
        <v>45672</v>
      </c>
      <c r="D6" s="65">
        <v>45672</v>
      </c>
      <c r="E6" s="65">
        <v>45673</v>
      </c>
      <c r="F6" s="65"/>
      <c r="G6" s="65">
        <v>45674</v>
      </c>
      <c r="H6" s="66" t="str">
        <f>VLOOKUP($B6,PRESUPUESTOS!$A$4:$H$1026,3,FALSE())</f>
        <v>ADESSOTECH</v>
      </c>
      <c r="I6" s="82" t="str">
        <f>VLOOKUP($B6,PRESUPUESTOS!$A$4:$H$1026,5,FALSE())</f>
        <v>TOBERA ALUMINIO 1"</v>
      </c>
      <c r="J6" s="68">
        <v>659465</v>
      </c>
      <c r="K6" s="69">
        <v>47.9</v>
      </c>
      <c r="L6" s="70">
        <f t="shared" si="0"/>
        <v>467658.67491865519</v>
      </c>
      <c r="M6" s="71">
        <f t="shared" si="1"/>
        <v>1502035.2494577009</v>
      </c>
      <c r="N6" s="70">
        <v>1500333</v>
      </c>
      <c r="O6" s="72" t="s">
        <v>415</v>
      </c>
      <c r="P6" s="73" t="s">
        <v>426</v>
      </c>
      <c r="Q6" s="72" t="s">
        <v>164</v>
      </c>
      <c r="R6" s="72" t="s">
        <v>164</v>
      </c>
      <c r="S6" s="74" t="s">
        <v>422</v>
      </c>
      <c r="T6" s="74" t="s">
        <v>24</v>
      </c>
      <c r="U6" s="72">
        <v>25</v>
      </c>
      <c r="V6" s="72" t="s">
        <v>427</v>
      </c>
      <c r="W6" s="75">
        <v>45674</v>
      </c>
      <c r="X6" s="76"/>
    </row>
    <row r="7" spans="1:27" ht="22.5" customHeight="1" x14ac:dyDescent="0.25">
      <c r="A7" s="63" t="s">
        <v>428</v>
      </c>
      <c r="B7" s="64">
        <v>326</v>
      </c>
      <c r="C7" s="65">
        <v>45686</v>
      </c>
      <c r="D7" s="65">
        <v>45691</v>
      </c>
      <c r="E7" s="65">
        <v>45692</v>
      </c>
      <c r="F7" s="65"/>
      <c r="G7" s="65">
        <v>45748</v>
      </c>
      <c r="H7" s="66" t="str">
        <f>VLOOKUP($B7,PRESUPUESTOS!$A$4:$H$1026,3,FALSE())</f>
        <v>SERVICIOS IBARRA</v>
      </c>
      <c r="I7" s="67" t="str">
        <f>VLOOKUP($B7,PRESUPUESTOS!$A$4:$H$1026,5,FALSE())</f>
        <v>TANQUE DE AGUA LADO CHOFER</v>
      </c>
      <c r="J7" s="68">
        <v>3300000</v>
      </c>
      <c r="K7" s="69">
        <v>58.38</v>
      </c>
      <c r="L7" s="70">
        <f t="shared" si="0"/>
        <v>3691363.1386861326</v>
      </c>
      <c r="M7" s="71">
        <f t="shared" si="1"/>
        <v>9727681.0780460425</v>
      </c>
      <c r="N7" s="70">
        <v>9580780</v>
      </c>
      <c r="O7" s="83" t="s">
        <v>415</v>
      </c>
      <c r="P7" s="73" t="s">
        <v>429</v>
      </c>
      <c r="Q7" s="72">
        <v>18</v>
      </c>
      <c r="R7" s="72">
        <v>35</v>
      </c>
      <c r="S7" s="74" t="s">
        <v>422</v>
      </c>
      <c r="T7" s="74" t="s">
        <v>24</v>
      </c>
      <c r="U7" s="72">
        <v>2956</v>
      </c>
      <c r="V7" s="72" t="s">
        <v>430</v>
      </c>
      <c r="W7" s="72" t="s">
        <v>431</v>
      </c>
      <c r="X7" s="76"/>
      <c r="Z7" s="84"/>
    </row>
    <row r="8" spans="1:27" ht="22.5" customHeight="1" x14ac:dyDescent="0.25">
      <c r="A8" s="63" t="s">
        <v>342</v>
      </c>
      <c r="B8" s="64">
        <v>327</v>
      </c>
      <c r="C8" s="65">
        <v>45698</v>
      </c>
      <c r="D8" s="65">
        <v>45730</v>
      </c>
      <c r="E8" s="65">
        <v>45736</v>
      </c>
      <c r="F8" s="65"/>
      <c r="G8" s="65">
        <v>45807</v>
      </c>
      <c r="H8" s="66" t="str">
        <f>VLOOKUP($B8,PRESUPUESTOS!$A$4:$H$1026,3,FALSE())</f>
        <v>ABSA - LINCONL</v>
      </c>
      <c r="I8" s="67" t="str">
        <f>VLOOKUP($B8,PRESUPUESTOS!$A$4:$H$1026,5,FALSE())</f>
        <v>TAPA  DE TANQUE DESPERDICIO</v>
      </c>
      <c r="J8" s="68">
        <v>6014400</v>
      </c>
      <c r="K8" s="69">
        <v>53.4</v>
      </c>
      <c r="L8" s="70">
        <f t="shared" si="0"/>
        <v>5398960.9655172424</v>
      </c>
      <c r="M8" s="71">
        <f t="shared" si="1"/>
        <v>15554482.758620692</v>
      </c>
      <c r="N8" s="70">
        <v>15584770</v>
      </c>
      <c r="O8" s="72" t="s">
        <v>415</v>
      </c>
      <c r="P8" s="73" t="s">
        <v>432</v>
      </c>
      <c r="Q8" s="72">
        <v>70</v>
      </c>
      <c r="R8" s="72">
        <v>83</v>
      </c>
      <c r="S8" s="74" t="s">
        <v>416</v>
      </c>
      <c r="T8" s="74" t="s">
        <v>433</v>
      </c>
      <c r="U8" s="72">
        <v>4500026290</v>
      </c>
      <c r="V8" s="72" t="s">
        <v>434</v>
      </c>
      <c r="W8" s="72" t="s">
        <v>435</v>
      </c>
      <c r="X8" s="76"/>
      <c r="Z8" s="84"/>
    </row>
    <row r="9" spans="1:27" ht="22.5" customHeight="1" x14ac:dyDescent="0.25">
      <c r="A9" s="63" t="s">
        <v>164</v>
      </c>
      <c r="B9" s="64">
        <v>330</v>
      </c>
      <c r="C9" s="65">
        <v>45716</v>
      </c>
      <c r="D9" s="65">
        <v>45722</v>
      </c>
      <c r="E9" s="65">
        <v>45723</v>
      </c>
      <c r="F9" s="65"/>
      <c r="G9" s="65">
        <v>45791</v>
      </c>
      <c r="H9" s="66" t="str">
        <f>VLOOKUP($B9,PRESUPUESTOS!$A$4:$H$1026,3,FALSE())</f>
        <v>MUNICIPALIDAD DE JUNIN</v>
      </c>
      <c r="I9" s="67" t="str">
        <f>VLOOKUP($B9,PRESUPUESTOS!$A$4:$H$1026,5,FALSE())</f>
        <v>MANGUERA DESOBSTRUCTORA</v>
      </c>
      <c r="J9" s="68">
        <v>2275951</v>
      </c>
      <c r="K9" s="69">
        <v>65.84</v>
      </c>
      <c r="L9" s="70">
        <f t="shared" si="0"/>
        <v>3631806.7807457405</v>
      </c>
      <c r="M9" s="71">
        <f t="shared" si="1"/>
        <v>8486322.9758522753</v>
      </c>
      <c r="N9" s="70">
        <v>8482882</v>
      </c>
      <c r="O9" s="72" t="s">
        <v>415</v>
      </c>
      <c r="P9" s="73" t="s">
        <v>436</v>
      </c>
      <c r="Q9" s="72" t="s">
        <v>164</v>
      </c>
      <c r="R9" s="72" t="s">
        <v>164</v>
      </c>
      <c r="S9" s="74" t="s">
        <v>422</v>
      </c>
      <c r="T9" s="74" t="s">
        <v>24</v>
      </c>
      <c r="U9" s="72">
        <v>1799</v>
      </c>
      <c r="V9" s="72" t="s">
        <v>437</v>
      </c>
      <c r="W9" s="75">
        <v>45785</v>
      </c>
      <c r="X9" s="76"/>
      <c r="Z9" s="84"/>
      <c r="AA9" s="28"/>
    </row>
    <row r="10" spans="1:27" ht="22.5" customHeight="1" x14ac:dyDescent="0.25">
      <c r="A10" s="63" t="s">
        <v>438</v>
      </c>
      <c r="B10" s="64">
        <v>332</v>
      </c>
      <c r="C10" s="65">
        <v>45771</v>
      </c>
      <c r="D10" s="65">
        <v>45854</v>
      </c>
      <c r="E10" s="65">
        <v>45856</v>
      </c>
      <c r="F10" s="65">
        <v>45953</v>
      </c>
      <c r="G10" s="65">
        <v>45783</v>
      </c>
      <c r="H10" s="66" t="str">
        <f>VLOOKUP($B10,PRESUPUESTOS!$A$4:$H$1026,3,FALSE())</f>
        <v>AGUAS RIONEGRINAS</v>
      </c>
      <c r="I10" s="82" t="s">
        <v>198</v>
      </c>
      <c r="J10" s="68">
        <v>19522313</v>
      </c>
      <c r="K10" s="69">
        <v>46</v>
      </c>
      <c r="L10" s="70">
        <f t="shared" si="0"/>
        <v>12768812.846562501</v>
      </c>
      <c r="M10" s="71">
        <f t="shared" si="1"/>
        <v>42705059.687500007</v>
      </c>
      <c r="N10" s="70">
        <v>42776989</v>
      </c>
      <c r="O10" s="72" t="s">
        <v>415</v>
      </c>
      <c r="P10" s="73" t="s">
        <v>439</v>
      </c>
      <c r="Q10" s="72">
        <v>88</v>
      </c>
      <c r="R10" s="72"/>
      <c r="S10" s="74" t="s">
        <v>422</v>
      </c>
      <c r="T10" s="74" t="s">
        <v>24</v>
      </c>
      <c r="U10" s="72">
        <v>699</v>
      </c>
      <c r="V10" s="72" t="s">
        <v>440</v>
      </c>
      <c r="W10" s="85">
        <v>45968</v>
      </c>
      <c r="X10" s="86">
        <v>4605</v>
      </c>
      <c r="Z10" s="84"/>
      <c r="AA10" s="28"/>
    </row>
    <row r="11" spans="1:27" ht="22.5" customHeight="1" x14ac:dyDescent="0.25">
      <c r="A11" s="63" t="s">
        <v>164</v>
      </c>
      <c r="B11" s="64">
        <v>334</v>
      </c>
      <c r="C11" s="65">
        <v>45743</v>
      </c>
      <c r="D11" s="65">
        <v>45743</v>
      </c>
      <c r="E11" s="65">
        <v>45756</v>
      </c>
      <c r="F11" s="65"/>
      <c r="G11" s="65">
        <v>45761</v>
      </c>
      <c r="H11" s="66" t="str">
        <f>VLOOKUP($B11,PRESUPUESTOS!$A$4:$H$1026,3,FALSE())</f>
        <v>SAMSA</v>
      </c>
      <c r="I11" s="67" t="str">
        <f>VLOOKUP($B11,PRESUPUESTOS!$A$4:$H$1026,5,FALSE())</f>
        <v>TOBERAS</v>
      </c>
      <c r="J11" s="68">
        <v>1448707</v>
      </c>
      <c r="K11" s="69">
        <v>37.869999999999997</v>
      </c>
      <c r="L11" s="70">
        <f t="shared" si="0"/>
        <v>667088.53583511501</v>
      </c>
      <c r="M11" s="71">
        <f t="shared" si="1"/>
        <v>2710034.4735435601</v>
      </c>
      <c r="N11" s="70">
        <v>2710167</v>
      </c>
      <c r="O11" s="72" t="s">
        <v>415</v>
      </c>
      <c r="P11" s="73" t="s">
        <v>241</v>
      </c>
      <c r="Q11" s="72" t="s">
        <v>164</v>
      </c>
      <c r="R11" s="72" t="s">
        <v>164</v>
      </c>
      <c r="S11" s="74" t="s">
        <v>422</v>
      </c>
      <c r="T11" s="74" t="s">
        <v>24</v>
      </c>
      <c r="U11" s="72">
        <v>33043</v>
      </c>
      <c r="V11" s="72" t="s">
        <v>441</v>
      </c>
      <c r="W11" s="75">
        <v>45776</v>
      </c>
      <c r="X11" s="76"/>
      <c r="Z11" s="84"/>
      <c r="AA11" s="28"/>
    </row>
    <row r="12" spans="1:27" ht="22.5" customHeight="1" x14ac:dyDescent="0.25">
      <c r="A12" s="63" t="s">
        <v>44</v>
      </c>
      <c r="B12" s="64">
        <v>344</v>
      </c>
      <c r="C12" s="65">
        <v>45763</v>
      </c>
      <c r="D12" s="65">
        <v>45817</v>
      </c>
      <c r="E12" s="65">
        <v>45834</v>
      </c>
      <c r="F12" s="65"/>
      <c r="G12" s="65">
        <v>45764</v>
      </c>
      <c r="H12" s="66" t="str">
        <f>VLOOKUP($B12,PRESUPUESTOS!$A$4:$H$1026,3,FALSE())</f>
        <v>ABSA -CAÑUELAS</v>
      </c>
      <c r="I12" s="67" t="str">
        <f>VLOOKUP($B12,PRESUPUESTOS!$A$4:$H$1026,5,FALSE())</f>
        <v>NOVEDADES</v>
      </c>
      <c r="J12" s="68">
        <v>6224864</v>
      </c>
      <c r="K12" s="69">
        <v>44</v>
      </c>
      <c r="L12" s="70">
        <f t="shared" si="0"/>
        <v>3738653.3184000007</v>
      </c>
      <c r="M12" s="71">
        <f t="shared" si="1"/>
        <v>13072214.400000002</v>
      </c>
      <c r="N12" s="70">
        <v>13036296</v>
      </c>
      <c r="O12" s="72" t="s">
        <v>415</v>
      </c>
      <c r="P12" s="73" t="s">
        <v>442</v>
      </c>
      <c r="Q12" s="72">
        <v>18</v>
      </c>
      <c r="R12" s="72">
        <v>29</v>
      </c>
      <c r="S12" s="74" t="s">
        <v>422</v>
      </c>
      <c r="T12" s="74" t="s">
        <v>24</v>
      </c>
      <c r="U12" s="72">
        <v>4500027506</v>
      </c>
      <c r="V12" s="72" t="s">
        <v>443</v>
      </c>
      <c r="W12" s="75">
        <v>45853</v>
      </c>
      <c r="X12" s="76"/>
      <c r="Z12" s="84"/>
    </row>
    <row r="13" spans="1:27" ht="22.5" customHeight="1" x14ac:dyDescent="0.25">
      <c r="A13" s="87" t="s">
        <v>164</v>
      </c>
      <c r="B13" s="88">
        <v>345</v>
      </c>
      <c r="C13" s="89">
        <v>45767</v>
      </c>
      <c r="D13" s="89">
        <v>45768</v>
      </c>
      <c r="E13" s="89">
        <v>45769</v>
      </c>
      <c r="F13" s="89"/>
      <c r="G13" s="89">
        <v>45769</v>
      </c>
      <c r="H13" s="90" t="str">
        <f>VLOOKUP($B13,PRESUPUESTOS!$A$4:$H$1026,3,FALSE())</f>
        <v>INDUMAT</v>
      </c>
      <c r="I13" s="91" t="str">
        <f>VLOOKUP($B13,PRESUPUESTOS!$A$4:$H$1026,5,FALSE())</f>
        <v>BURLETE</v>
      </c>
      <c r="J13" s="92">
        <v>268620</v>
      </c>
      <c r="K13" s="93">
        <v>35.299999999999997</v>
      </c>
      <c r="L13" s="94">
        <f t="shared" si="0"/>
        <v>110249.74778534925</v>
      </c>
      <c r="M13" s="95">
        <f t="shared" si="1"/>
        <v>480495.7410562181</v>
      </c>
      <c r="N13" s="94">
        <v>480078.39</v>
      </c>
      <c r="O13" s="96" t="s">
        <v>151</v>
      </c>
      <c r="P13" s="97" t="s">
        <v>444</v>
      </c>
      <c r="Q13" s="96" t="s">
        <v>164</v>
      </c>
      <c r="R13" s="96" t="s">
        <v>164</v>
      </c>
      <c r="S13" s="98" t="s">
        <v>422</v>
      </c>
      <c r="T13" s="98" t="s">
        <v>24</v>
      </c>
      <c r="U13" s="96">
        <v>2330</v>
      </c>
      <c r="V13" s="96" t="s">
        <v>445</v>
      </c>
      <c r="W13" s="96"/>
      <c r="X13" s="76"/>
    </row>
    <row r="14" spans="1:27" ht="22.5" customHeight="1" x14ac:dyDescent="0.25">
      <c r="A14" s="63" t="s">
        <v>446</v>
      </c>
      <c r="B14" s="64">
        <v>347</v>
      </c>
      <c r="C14" s="65">
        <v>45772</v>
      </c>
      <c r="D14" s="65">
        <v>45772</v>
      </c>
      <c r="E14" s="65">
        <v>45775</v>
      </c>
      <c r="F14" s="99"/>
      <c r="G14" s="99">
        <v>45783</v>
      </c>
      <c r="H14" s="66" t="str">
        <f>VLOOKUP($B14,PRESUPUESTOS!$A$4:$H$1026,3,FALSE())</f>
        <v>MUNICIPALIDAD SANTA ROSA</v>
      </c>
      <c r="I14" s="67" t="str">
        <f>VLOOKUP($B14,PRESUPUESTOS!$A$4:$H$1026,5,FALSE())</f>
        <v>SERVICIOS DE TRASLADO</v>
      </c>
      <c r="J14" s="68">
        <v>3388000</v>
      </c>
      <c r="K14" s="69">
        <v>10</v>
      </c>
      <c r="L14" s="70">
        <f t="shared" si="0"/>
        <v>275275</v>
      </c>
      <c r="M14" s="71">
        <f t="shared" si="1"/>
        <v>4235000</v>
      </c>
      <c r="N14" s="70">
        <v>4235000</v>
      </c>
      <c r="O14" s="72" t="s">
        <v>415</v>
      </c>
      <c r="P14" s="73" t="s">
        <v>447</v>
      </c>
      <c r="Q14" s="72" t="s">
        <v>164</v>
      </c>
      <c r="R14" s="72" t="s">
        <v>164</v>
      </c>
      <c r="S14" s="74" t="s">
        <v>422</v>
      </c>
      <c r="T14" s="74" t="s">
        <v>24</v>
      </c>
      <c r="U14" s="72">
        <v>487</v>
      </c>
      <c r="V14" s="72" t="s">
        <v>448</v>
      </c>
      <c r="W14" s="75">
        <v>45835</v>
      </c>
      <c r="X14" s="76"/>
    </row>
    <row r="15" spans="1:27" ht="22.5" customHeight="1" x14ac:dyDescent="0.2">
      <c r="A15" s="63" t="s">
        <v>39</v>
      </c>
      <c r="B15" s="86">
        <v>348</v>
      </c>
      <c r="C15" s="75">
        <v>45782</v>
      </c>
      <c r="D15" s="75">
        <v>45834</v>
      </c>
      <c r="E15" s="75">
        <v>45854</v>
      </c>
      <c r="F15" s="75"/>
      <c r="G15" s="75">
        <v>45854</v>
      </c>
      <c r="H15" s="100" t="str">
        <f>VLOOKUP($B15,PRESUPUESTOS!$A$4:$H$1026,3,FALSE())</f>
        <v>ABSA LA PLATA</v>
      </c>
      <c r="I15" s="101" t="str">
        <f>VLOOKUP($B15,PRESUPUESTOS!$A$4:$H$1026,5,FALSE())</f>
        <v>BLOWER</v>
      </c>
      <c r="J15" s="102">
        <v>22911160</v>
      </c>
      <c r="K15" s="69">
        <v>37.299999999999997</v>
      </c>
      <c r="L15" s="70">
        <f t="shared" si="0"/>
        <v>10286686.559259258</v>
      </c>
      <c r="M15" s="71">
        <f t="shared" si="1"/>
        <v>42428074.074074075</v>
      </c>
      <c r="N15" s="103">
        <v>42411468</v>
      </c>
      <c r="O15" s="72" t="s">
        <v>415</v>
      </c>
      <c r="P15" s="73" t="s">
        <v>449</v>
      </c>
      <c r="Q15" s="72">
        <v>18</v>
      </c>
      <c r="R15" s="72">
        <v>16</v>
      </c>
      <c r="S15" s="74" t="s">
        <v>422</v>
      </c>
      <c r="T15" s="74" t="s">
        <v>24</v>
      </c>
      <c r="U15" s="72">
        <v>4500027607</v>
      </c>
      <c r="V15" s="72" t="s">
        <v>450</v>
      </c>
      <c r="W15" s="75">
        <v>45918</v>
      </c>
      <c r="X15" s="76"/>
    </row>
    <row r="16" spans="1:27" ht="22.5" customHeight="1" x14ac:dyDescent="0.2">
      <c r="A16" s="63" t="s">
        <v>451</v>
      </c>
      <c r="B16" s="86">
        <v>349</v>
      </c>
      <c r="C16" s="75">
        <v>45804</v>
      </c>
      <c r="D16" s="104">
        <v>45812</v>
      </c>
      <c r="E16" s="86" t="s">
        <v>452</v>
      </c>
      <c r="F16" s="104"/>
      <c r="G16" s="104">
        <v>45898</v>
      </c>
      <c r="H16" s="100" t="str">
        <f>VLOOKUP($B16,PRESUPUESTOS!$A$4:$H$1026,3,FALSE())</f>
        <v>MUNICIPALIDAD DE JUNIN</v>
      </c>
      <c r="I16" s="105" t="str">
        <f>VLOOKUP($B16,PRESUPUESTOS!$A$4:$H$1026,5,FALSE())</f>
        <v>REPARACION EN GENERAL</v>
      </c>
      <c r="J16" s="106">
        <v>9837346</v>
      </c>
      <c r="K16" s="69">
        <v>68.8</v>
      </c>
      <c r="L16" s="70">
        <f t="shared" si="0"/>
        <v>18330254.713333338</v>
      </c>
      <c r="M16" s="71">
        <f t="shared" si="1"/>
        <v>40988941.666666672</v>
      </c>
      <c r="N16" s="103">
        <v>41103820.909999996</v>
      </c>
      <c r="O16" s="72" t="s">
        <v>415</v>
      </c>
      <c r="P16" s="73" t="s">
        <v>453</v>
      </c>
      <c r="Q16" s="86">
        <v>240</v>
      </c>
      <c r="R16" s="86">
        <v>230</v>
      </c>
      <c r="S16" s="74" t="s">
        <v>422</v>
      </c>
      <c r="T16" s="74" t="s">
        <v>24</v>
      </c>
      <c r="U16" s="86">
        <v>5058</v>
      </c>
      <c r="V16" s="86" t="s">
        <v>454</v>
      </c>
      <c r="W16" s="86" t="s">
        <v>455</v>
      </c>
      <c r="X16" s="76"/>
    </row>
    <row r="17" spans="1:24" ht="22.5" customHeight="1" x14ac:dyDescent="0.2">
      <c r="A17" s="63" t="s">
        <v>446</v>
      </c>
      <c r="B17" s="86">
        <v>350</v>
      </c>
      <c r="C17" s="75">
        <v>45792</v>
      </c>
      <c r="D17" s="104">
        <v>45797</v>
      </c>
      <c r="E17" s="104">
        <v>45798</v>
      </c>
      <c r="F17" s="104"/>
      <c r="G17" s="104">
        <v>45944</v>
      </c>
      <c r="H17" s="100" t="str">
        <f>VLOOKUP($B17,PRESUPUESTOS!$A$4:$H$1026,3,FALSE())</f>
        <v>MUNICIPALIDAD SANTA ROSA</v>
      </c>
      <c r="I17" s="105" t="str">
        <f>VLOOKUP($B17,PRESUPUESTOS!$A$4:$H$1026,5,FALSE())</f>
        <v xml:space="preserve">REPARACION EN CAJA DE TRANSFERENCIA </v>
      </c>
      <c r="J17" s="106">
        <v>17473866</v>
      </c>
      <c r="K17" s="69">
        <v>39.5</v>
      </c>
      <c r="L17" s="70">
        <f t="shared" si="0"/>
        <v>8643552.0188532136</v>
      </c>
      <c r="M17" s="71">
        <f t="shared" si="1"/>
        <v>33665246.422018357</v>
      </c>
      <c r="N17" s="103">
        <v>35368993</v>
      </c>
      <c r="O17" s="72" t="s">
        <v>415</v>
      </c>
      <c r="P17" s="73" t="s">
        <v>456</v>
      </c>
      <c r="Q17" s="86">
        <v>80</v>
      </c>
      <c r="R17" s="86">
        <v>98</v>
      </c>
      <c r="S17" s="74" t="s">
        <v>416</v>
      </c>
      <c r="T17" s="74" t="s">
        <v>457</v>
      </c>
      <c r="U17" s="86">
        <v>558</v>
      </c>
      <c r="V17" s="86" t="s">
        <v>458</v>
      </c>
      <c r="W17" s="107">
        <v>45944</v>
      </c>
      <c r="X17" s="86">
        <v>4604</v>
      </c>
    </row>
    <row r="18" spans="1:24" ht="22.5" customHeight="1" x14ac:dyDescent="0.2">
      <c r="A18" s="108" t="s">
        <v>459</v>
      </c>
      <c r="B18" s="109">
        <v>290</v>
      </c>
      <c r="C18" s="110">
        <v>45750</v>
      </c>
      <c r="D18" s="111">
        <v>45796</v>
      </c>
      <c r="E18" s="109" t="s">
        <v>460</v>
      </c>
      <c r="F18" s="111"/>
      <c r="G18" s="111"/>
      <c r="H18" s="112" t="str">
        <f>VLOOKUP($B18,PRESUPUESTOS!$A$4:$H$1026,3,FALSE())</f>
        <v>ABSA - LAS FLORES</v>
      </c>
      <c r="I18" s="113" t="str">
        <f>VLOOKUP($B18,PRESUPUESTOS!$A$4:$H$1026,5,FALSE())</f>
        <v>INSPECCION DE ARREGLOS EN GENERAL</v>
      </c>
      <c r="J18" s="114">
        <v>15133940</v>
      </c>
      <c r="K18" s="115">
        <v>47.4</v>
      </c>
      <c r="L18" s="116">
        <f t="shared" si="0"/>
        <v>10506234.462875538</v>
      </c>
      <c r="M18" s="117">
        <f t="shared" si="1"/>
        <v>34100079.399141632</v>
      </c>
      <c r="N18" s="118">
        <v>34101996</v>
      </c>
      <c r="O18" s="119">
        <v>0.5</v>
      </c>
      <c r="P18" s="120" t="s">
        <v>461</v>
      </c>
      <c r="Q18" s="109">
        <v>131</v>
      </c>
      <c r="R18" s="109"/>
      <c r="S18" s="121" t="s">
        <v>416</v>
      </c>
      <c r="T18" s="121" t="s">
        <v>462</v>
      </c>
      <c r="U18" s="109">
        <v>4500026873</v>
      </c>
      <c r="V18" s="109" t="s">
        <v>463</v>
      </c>
      <c r="W18" s="109"/>
      <c r="X18" s="76"/>
    </row>
    <row r="19" spans="1:24" ht="22.5" customHeight="1" x14ac:dyDescent="0.2">
      <c r="A19" s="63" t="s">
        <v>164</v>
      </c>
      <c r="B19" s="86">
        <v>352</v>
      </c>
      <c r="C19" s="75">
        <v>45792</v>
      </c>
      <c r="D19" s="104">
        <v>45793</v>
      </c>
      <c r="E19" s="122">
        <v>45818</v>
      </c>
      <c r="F19" s="123"/>
      <c r="G19" s="123">
        <v>45818</v>
      </c>
      <c r="H19" s="100" t="str">
        <f>VLOOKUP($B19,PRESUPUESTOS!$A$4:$H$1026,3,FALSE())</f>
        <v>AUTOMAT</v>
      </c>
      <c r="I19" s="105" t="str">
        <f>VLOOKUP($B19,PRESUPUESTOS!$A$4:$H$1026,5,FALSE())</f>
        <v>ARENADO DE VIGAS</v>
      </c>
      <c r="J19" s="106">
        <v>8000000</v>
      </c>
      <c r="K19" s="69">
        <v>47.7</v>
      </c>
      <c r="L19" s="70">
        <f t="shared" si="0"/>
        <v>5625097.1922246236</v>
      </c>
      <c r="M19" s="71">
        <f t="shared" si="1"/>
        <v>18142548.596112315</v>
      </c>
      <c r="N19" s="103">
        <v>18149999.52</v>
      </c>
      <c r="O19" s="72" t="s">
        <v>415</v>
      </c>
      <c r="P19" s="73" t="s">
        <v>464</v>
      </c>
      <c r="Q19" s="86" t="s">
        <v>164</v>
      </c>
      <c r="R19" s="86" t="s">
        <v>164</v>
      </c>
      <c r="S19" s="74" t="s">
        <v>422</v>
      </c>
      <c r="T19" s="74" t="s">
        <v>24</v>
      </c>
      <c r="U19" s="86" t="s">
        <v>465</v>
      </c>
      <c r="V19" s="86" t="s">
        <v>466</v>
      </c>
      <c r="W19" s="86"/>
      <c r="X19" s="76"/>
    </row>
    <row r="20" spans="1:24" ht="22.5" customHeight="1" x14ac:dyDescent="0.2">
      <c r="A20" s="63" t="s">
        <v>34</v>
      </c>
      <c r="B20" s="86">
        <v>355</v>
      </c>
      <c r="C20" s="75">
        <v>45803</v>
      </c>
      <c r="D20" s="104">
        <v>45869</v>
      </c>
      <c r="E20" s="104">
        <v>45869</v>
      </c>
      <c r="F20" s="104"/>
      <c r="G20" s="104">
        <v>45803</v>
      </c>
      <c r="H20" s="100" t="str">
        <f>VLOOKUP($B20,PRESUPUESTOS!$A$4:$H$1026,3,FALSE())</f>
        <v>ABSA - LA PLATA</v>
      </c>
      <c r="I20" s="105" t="str">
        <f>VLOOKUP($B20,PRESUPUESTOS!$A$4:$H$1026,5,FALSE())</f>
        <v>NOVEDADES</v>
      </c>
      <c r="J20" s="106">
        <v>2923633</v>
      </c>
      <c r="K20" s="69">
        <v>62</v>
      </c>
      <c r="L20" s="70">
        <f t="shared" si="0"/>
        <v>3866047.8248437508</v>
      </c>
      <c r="M20" s="71">
        <f t="shared" si="1"/>
        <v>9593170.7812500019</v>
      </c>
      <c r="N20" s="103">
        <v>9634719.3100000005</v>
      </c>
      <c r="O20" s="72" t="s">
        <v>415</v>
      </c>
      <c r="P20" s="73" t="s">
        <v>467</v>
      </c>
      <c r="Q20" s="86">
        <v>89</v>
      </c>
      <c r="R20" s="86">
        <v>80</v>
      </c>
      <c r="S20" s="74" t="s">
        <v>422</v>
      </c>
      <c r="T20" s="74" t="s">
        <v>24</v>
      </c>
      <c r="U20" s="86">
        <v>4500028490</v>
      </c>
      <c r="V20" s="86" t="s">
        <v>468</v>
      </c>
      <c r="W20" s="107">
        <v>45918</v>
      </c>
      <c r="X20" s="76"/>
    </row>
    <row r="21" spans="1:24" ht="22.5" customHeight="1" x14ac:dyDescent="0.2">
      <c r="A21" s="63" t="s">
        <v>342</v>
      </c>
      <c r="B21" s="86">
        <v>356</v>
      </c>
      <c r="C21" s="75">
        <v>45807</v>
      </c>
      <c r="D21" s="104">
        <v>45841</v>
      </c>
      <c r="E21" s="104">
        <v>45842</v>
      </c>
      <c r="F21" s="104"/>
      <c r="G21" s="104">
        <v>45807</v>
      </c>
      <c r="H21" s="100" t="str">
        <f>VLOOKUP($B21,PRESUPUESTOS!$A$4:$H$1026,3,FALSE())</f>
        <v>ABSA - LINCOLN</v>
      </c>
      <c r="I21" s="105" t="str">
        <f>VLOOKUP($B21,PRESUPUESTOS!$A$4:$H$1026,5,FALSE())</f>
        <v>NOVEDADES</v>
      </c>
      <c r="J21" s="106">
        <v>4382887</v>
      </c>
      <c r="K21" s="69">
        <v>47</v>
      </c>
      <c r="L21" s="70">
        <f t="shared" si="0"/>
        <v>2991320.3775000004</v>
      </c>
      <c r="M21" s="71">
        <f t="shared" si="1"/>
        <v>9791556.0638297889</v>
      </c>
      <c r="N21" s="103">
        <v>9778860.2899999991</v>
      </c>
      <c r="O21" s="72" t="s">
        <v>415</v>
      </c>
      <c r="P21" s="73" t="s">
        <v>469</v>
      </c>
      <c r="Q21" s="86">
        <v>18</v>
      </c>
      <c r="R21" s="86">
        <v>16</v>
      </c>
      <c r="S21" s="74" t="s">
        <v>422</v>
      </c>
      <c r="T21" s="74" t="s">
        <v>24</v>
      </c>
      <c r="U21" s="86">
        <v>4500027761</v>
      </c>
      <c r="V21" s="86" t="s">
        <v>470</v>
      </c>
      <c r="W21" s="104">
        <v>45855</v>
      </c>
      <c r="X21" s="76"/>
    </row>
    <row r="22" spans="1:24" ht="22.5" customHeight="1" x14ac:dyDescent="0.2">
      <c r="A22" s="63" t="s">
        <v>421</v>
      </c>
      <c r="B22" s="86">
        <v>358</v>
      </c>
      <c r="C22" s="75">
        <v>45806</v>
      </c>
      <c r="D22" s="104">
        <v>45860</v>
      </c>
      <c r="E22" s="104">
        <v>45866</v>
      </c>
      <c r="F22" s="104"/>
      <c r="G22" s="104">
        <v>45925</v>
      </c>
      <c r="H22" s="100" t="str">
        <f>VLOOKUP($B22,PRESUPUESTOS!$A$4:$H$1026,3,FALSE())</f>
        <v>MUNICIPALIDAD TRES ARROYOS</v>
      </c>
      <c r="I22" s="124" t="s">
        <v>471</v>
      </c>
      <c r="J22" s="106">
        <v>3283452</v>
      </c>
      <c r="K22" s="69">
        <v>68</v>
      </c>
      <c r="L22" s="70">
        <f t="shared" si="0"/>
        <v>5860961.8200000031</v>
      </c>
      <c r="M22" s="71">
        <f t="shared" si="1"/>
        <v>13260094.615384622</v>
      </c>
      <c r="N22" s="103">
        <v>13472937.640000001</v>
      </c>
      <c r="O22" s="72" t="s">
        <v>415</v>
      </c>
      <c r="P22" s="73" t="s">
        <v>313</v>
      </c>
      <c r="Q22" s="86">
        <v>57</v>
      </c>
      <c r="R22" s="86">
        <v>58</v>
      </c>
      <c r="S22" s="74" t="s">
        <v>422</v>
      </c>
      <c r="T22" s="74" t="s">
        <v>24</v>
      </c>
      <c r="U22" s="86">
        <v>3035</v>
      </c>
      <c r="V22" s="86" t="s">
        <v>472</v>
      </c>
      <c r="W22" s="107">
        <v>45925</v>
      </c>
      <c r="X22" s="76"/>
    </row>
    <row r="23" spans="1:24" ht="22.5" customHeight="1" x14ac:dyDescent="0.2">
      <c r="A23" s="86" t="s">
        <v>473</v>
      </c>
      <c r="B23" s="86">
        <v>364</v>
      </c>
      <c r="C23" s="75">
        <v>45820</v>
      </c>
      <c r="D23" s="104">
        <v>45846</v>
      </c>
      <c r="E23" s="104">
        <v>45846</v>
      </c>
      <c r="F23" s="104"/>
      <c r="G23" s="104">
        <v>45877</v>
      </c>
      <c r="H23" s="100" t="str">
        <f>VLOOKUP($B23,PRESUPUESTOS!$A$4:$H$1026,3,FALSE())</f>
        <v>MUNICIPALIDAD TRES ARROYOS</v>
      </c>
      <c r="I23" s="105" t="str">
        <f>VLOOKUP($B23,PRESUPUESTOS!$A$4:$H$1026,5,FALSE())</f>
        <v>MANGUERA DESOBSTRUCTORA 1"</v>
      </c>
      <c r="J23" s="106">
        <v>4481244</v>
      </c>
      <c r="K23" s="69">
        <v>28</v>
      </c>
      <c r="L23" s="70">
        <f t="shared" si="0"/>
        <v>1297523.830909091</v>
      </c>
      <c r="M23" s="71">
        <f t="shared" si="1"/>
        <v>7129251.8181818193</v>
      </c>
      <c r="N23" s="103">
        <v>7160000</v>
      </c>
      <c r="O23" s="72" t="s">
        <v>415</v>
      </c>
      <c r="P23" s="73" t="s">
        <v>474</v>
      </c>
      <c r="Q23" s="86" t="s">
        <v>164</v>
      </c>
      <c r="R23" s="86" t="s">
        <v>164</v>
      </c>
      <c r="S23" s="74" t="s">
        <v>422</v>
      </c>
      <c r="T23" s="74" t="s">
        <v>24</v>
      </c>
      <c r="U23" s="86">
        <v>2938</v>
      </c>
      <c r="V23" s="86" t="s">
        <v>475</v>
      </c>
      <c r="W23" s="107">
        <v>45877</v>
      </c>
      <c r="X23" s="76"/>
    </row>
    <row r="24" spans="1:24" ht="22.5" customHeight="1" x14ac:dyDescent="0.2">
      <c r="A24" s="108" t="s">
        <v>459</v>
      </c>
      <c r="B24" s="109">
        <v>367</v>
      </c>
      <c r="C24" s="110">
        <v>45841</v>
      </c>
      <c r="D24" s="111">
        <v>45939</v>
      </c>
      <c r="E24" s="111">
        <v>45971</v>
      </c>
      <c r="F24" s="111"/>
      <c r="G24" s="111"/>
      <c r="H24" s="112" t="str">
        <f>VLOOKUP($B24,PRESUPUESTOS!$A$4:$H$1026,3,FALSE())</f>
        <v>ABSA - LAS FLORES</v>
      </c>
      <c r="I24" s="113" t="str">
        <f>VLOOKUP($B24,PRESUPUESTOS!$A$4:$H$1026,5,FALSE())</f>
        <v>AGREGADOS Y NOVEDADES</v>
      </c>
      <c r="J24" s="114">
        <v>7000000</v>
      </c>
      <c r="K24" s="115">
        <v>57.4</v>
      </c>
      <c r="L24" s="116">
        <f t="shared" si="0"/>
        <v>7492581.9672131147</v>
      </c>
      <c r="M24" s="117">
        <f t="shared" si="1"/>
        <v>20081967.213114753</v>
      </c>
      <c r="N24" s="118">
        <v>20104860</v>
      </c>
      <c r="O24" s="125" t="s">
        <v>151</v>
      </c>
      <c r="P24" s="120" t="s">
        <v>476</v>
      </c>
      <c r="Q24" s="109">
        <v>65</v>
      </c>
      <c r="R24" s="109"/>
      <c r="S24" s="121" t="s">
        <v>416</v>
      </c>
      <c r="T24" s="121" t="s">
        <v>462</v>
      </c>
      <c r="U24" s="109">
        <v>4500029647</v>
      </c>
      <c r="V24" s="109" t="s">
        <v>477</v>
      </c>
      <c r="W24" s="109"/>
      <c r="X24" s="109"/>
    </row>
    <row r="25" spans="1:24" ht="22.5" customHeight="1" x14ac:dyDescent="0.2">
      <c r="A25" s="63" t="s">
        <v>342</v>
      </c>
      <c r="B25" s="86">
        <v>368</v>
      </c>
      <c r="C25" s="75">
        <v>45833</v>
      </c>
      <c r="D25" s="104">
        <v>45862</v>
      </c>
      <c r="E25" s="104">
        <v>45869</v>
      </c>
      <c r="F25" s="104"/>
      <c r="G25" s="104">
        <v>45835</v>
      </c>
      <c r="H25" s="100" t="str">
        <f>VLOOKUP($B25,PRESUPUESTOS!$A$4:$H$1026,3,FALSE())</f>
        <v>ABSA - LINCOLN</v>
      </c>
      <c r="I25" s="105" t="str">
        <f>VLOOKUP($B25,PRESUPUESTOS!$A$4:$H$1026,5,FALSE())</f>
        <v>CABLE DE ACELERADOR</v>
      </c>
      <c r="J25" s="106">
        <v>381150</v>
      </c>
      <c r="K25" s="69">
        <v>53.5</v>
      </c>
      <c r="L25" s="70">
        <f t="shared" si="0"/>
        <v>343634.95833333337</v>
      </c>
      <c r="M25" s="71">
        <f t="shared" si="1"/>
        <v>988166.66666666686</v>
      </c>
      <c r="N25" s="103">
        <v>988267</v>
      </c>
      <c r="O25" s="72" t="s">
        <v>415</v>
      </c>
      <c r="P25" s="73" t="s">
        <v>478</v>
      </c>
      <c r="Q25" s="86" t="s">
        <v>164</v>
      </c>
      <c r="R25" s="86" t="s">
        <v>164</v>
      </c>
      <c r="S25" s="74" t="s">
        <v>422</v>
      </c>
      <c r="T25" s="74" t="s">
        <v>24</v>
      </c>
      <c r="U25" s="86">
        <v>4500028299</v>
      </c>
      <c r="V25" s="86" t="s">
        <v>479</v>
      </c>
      <c r="W25" s="104">
        <v>45918</v>
      </c>
      <c r="X25" s="76"/>
    </row>
    <row r="26" spans="1:24" ht="22.5" customHeight="1" x14ac:dyDescent="0.2">
      <c r="A26" s="86" t="s">
        <v>164</v>
      </c>
      <c r="B26" s="86">
        <v>369</v>
      </c>
      <c r="C26" s="75">
        <v>45842</v>
      </c>
      <c r="D26" s="104">
        <v>45853</v>
      </c>
      <c r="E26" s="104">
        <v>45856</v>
      </c>
      <c r="F26" s="104"/>
      <c r="G26" s="104">
        <v>45868</v>
      </c>
      <c r="H26" s="100" t="str">
        <f>VLOOKUP($B26,PRESUPUESTOS!$A$4:$H$1026,3,FALSE())</f>
        <v>MUNICIPALIDAD SANTA TERESITA</v>
      </c>
      <c r="I26" s="105" t="str">
        <f>VLOOKUP($B26,PRESUPUESTOS!$A$4:$H$1026,5,FALSE())</f>
        <v>TOBERAS</v>
      </c>
      <c r="J26" s="106">
        <v>1068983</v>
      </c>
      <c r="K26" s="69">
        <v>30</v>
      </c>
      <c r="L26" s="70">
        <f t="shared" si="0"/>
        <v>341991.04570312507</v>
      </c>
      <c r="M26" s="71">
        <f t="shared" si="1"/>
        <v>1753800.2343750005</v>
      </c>
      <c r="N26" s="103">
        <v>1748371.35</v>
      </c>
      <c r="O26" s="72" t="s">
        <v>415</v>
      </c>
      <c r="P26" s="73" t="s">
        <v>480</v>
      </c>
      <c r="Q26" s="86" t="s">
        <v>164</v>
      </c>
      <c r="R26" s="86" t="s">
        <v>164</v>
      </c>
      <c r="S26" s="74" t="s">
        <v>422</v>
      </c>
      <c r="T26" s="74" t="s">
        <v>24</v>
      </c>
      <c r="U26" s="86">
        <v>20250004</v>
      </c>
      <c r="V26" s="86" t="s">
        <v>481</v>
      </c>
      <c r="W26" s="104">
        <v>45862</v>
      </c>
      <c r="X26" s="76"/>
    </row>
    <row r="27" spans="1:24" ht="22.5" customHeight="1" x14ac:dyDescent="0.2">
      <c r="A27" s="86" t="s">
        <v>451</v>
      </c>
      <c r="B27" s="86">
        <v>371</v>
      </c>
      <c r="C27" s="75">
        <v>45846</v>
      </c>
      <c r="D27" s="104">
        <v>45849</v>
      </c>
      <c r="E27" s="104">
        <v>45852</v>
      </c>
      <c r="F27" s="107"/>
      <c r="G27" s="107">
        <v>45898</v>
      </c>
      <c r="H27" s="100" t="str">
        <f>VLOOKUP($B27,PRESUPUESTOS!$A$4:$H$1026,3,FALSE())</f>
        <v>MUNICIPALIDAD DE JUNIN</v>
      </c>
      <c r="I27" s="105" t="str">
        <f>VLOOKUP($B27,PRESUPUESTOS!$A$4:$H$1026,5,FALSE())</f>
        <v>KIT DE REPARACION BOMBA DE AGUA</v>
      </c>
      <c r="J27" s="106">
        <v>2842497</v>
      </c>
      <c r="K27" s="69">
        <v>32</v>
      </c>
      <c r="L27" s="70">
        <f t="shared" si="0"/>
        <v>1001292.4916129035</v>
      </c>
      <c r="M27" s="71">
        <f t="shared" si="1"/>
        <v>4813906.2096774206</v>
      </c>
      <c r="N27" s="103">
        <v>4783502.68</v>
      </c>
      <c r="O27" s="72" t="s">
        <v>415</v>
      </c>
      <c r="P27" s="73" t="s">
        <v>482</v>
      </c>
      <c r="Q27" s="86" t="s">
        <v>164</v>
      </c>
      <c r="R27" s="86" t="s">
        <v>164</v>
      </c>
      <c r="S27" s="74" t="s">
        <v>422</v>
      </c>
      <c r="T27" s="74" t="s">
        <v>24</v>
      </c>
      <c r="U27" s="86">
        <v>6526</v>
      </c>
      <c r="V27" s="86" t="s">
        <v>483</v>
      </c>
      <c r="W27" s="104">
        <v>13025</v>
      </c>
      <c r="X27" s="76"/>
    </row>
    <row r="28" spans="1:24" ht="22.5" customHeight="1" x14ac:dyDescent="0.2">
      <c r="A28" s="86" t="s">
        <v>484</v>
      </c>
      <c r="B28" s="86">
        <v>372</v>
      </c>
      <c r="C28" s="75">
        <v>45855</v>
      </c>
      <c r="D28" s="104">
        <v>45859</v>
      </c>
      <c r="E28" s="104">
        <v>45859</v>
      </c>
      <c r="F28" s="107"/>
      <c r="G28" s="107">
        <v>45898</v>
      </c>
      <c r="H28" s="100" t="str">
        <f>VLOOKUP($B28,PRESUPUESTOS!$A$4:$H$1026,3,FALSE())</f>
        <v>MUNICIPALIDAD DE JUNIN</v>
      </c>
      <c r="I28" s="105" t="str">
        <f>VLOOKUP($B28,PRESUPUESTOS!$A$4:$H$1026,5,FALSE())</f>
        <v>TOBERAS VARIAS 1"</v>
      </c>
      <c r="J28" s="106">
        <v>2207900</v>
      </c>
      <c r="K28" s="69">
        <v>34</v>
      </c>
      <c r="L28" s="70">
        <f t="shared" si="0"/>
        <v>853905.32500000019</v>
      </c>
      <c r="M28" s="71">
        <f t="shared" si="1"/>
        <v>3863825.0000000009</v>
      </c>
      <c r="N28" s="103">
        <v>3795836.55</v>
      </c>
      <c r="O28" s="72" t="s">
        <v>415</v>
      </c>
      <c r="P28" s="73" t="s">
        <v>485</v>
      </c>
      <c r="Q28" s="86" t="s">
        <v>164</v>
      </c>
      <c r="R28" s="86" t="s">
        <v>164</v>
      </c>
      <c r="S28" s="74" t="s">
        <v>422</v>
      </c>
      <c r="T28" s="74" t="s">
        <v>24</v>
      </c>
      <c r="U28" s="86">
        <v>6944</v>
      </c>
      <c r="V28" s="86" t="s">
        <v>486</v>
      </c>
      <c r="W28" s="104">
        <v>13025</v>
      </c>
      <c r="X28" s="76"/>
    </row>
    <row r="29" spans="1:24" ht="22.5" customHeight="1" x14ac:dyDescent="0.2">
      <c r="A29" s="86" t="s">
        <v>34</v>
      </c>
      <c r="B29" s="86">
        <v>378</v>
      </c>
      <c r="C29" s="75">
        <v>45868</v>
      </c>
      <c r="D29" s="104">
        <v>45926</v>
      </c>
      <c r="E29" s="104">
        <v>45946</v>
      </c>
      <c r="F29" s="107">
        <v>45987</v>
      </c>
      <c r="G29" s="107">
        <v>45953</v>
      </c>
      <c r="H29" s="100" t="str">
        <f>VLOOKUP($B29,PRESUPUESTOS!$A$4:$H$1026,3,FALSE())</f>
        <v>ABSA - LA PLATA</v>
      </c>
      <c r="I29" s="105" t="str">
        <f>VLOOKUP($B29,PRESUPUESTOS!$A$4:$H$1026,5,FALSE())</f>
        <v>DESARME Y DIAGNOSTICO</v>
      </c>
      <c r="J29" s="106">
        <v>370000</v>
      </c>
      <c r="K29" s="69">
        <v>46</v>
      </c>
      <c r="L29" s="70">
        <f t="shared" si="0"/>
        <v>242003.12500000006</v>
      </c>
      <c r="M29" s="71">
        <f t="shared" si="1"/>
        <v>809375.00000000012</v>
      </c>
      <c r="N29" s="103">
        <v>807520.12</v>
      </c>
      <c r="O29" s="72" t="s">
        <v>415</v>
      </c>
      <c r="P29" s="73" t="s">
        <v>334</v>
      </c>
      <c r="Q29" s="86">
        <v>15</v>
      </c>
      <c r="R29" s="86">
        <v>15</v>
      </c>
      <c r="S29" s="74" t="s">
        <v>422</v>
      </c>
      <c r="T29" s="74" t="s">
        <v>24</v>
      </c>
      <c r="U29" s="86">
        <v>4500029404</v>
      </c>
      <c r="V29" s="86" t="s">
        <v>487</v>
      </c>
      <c r="W29" s="107"/>
      <c r="X29" s="86"/>
    </row>
    <row r="30" spans="1:24" ht="22.5" customHeight="1" x14ac:dyDescent="0.2">
      <c r="A30" s="86" t="s">
        <v>484</v>
      </c>
      <c r="B30" s="86">
        <v>382</v>
      </c>
      <c r="C30" s="75">
        <v>45877</v>
      </c>
      <c r="D30" s="104">
        <v>45881</v>
      </c>
      <c r="E30" s="104">
        <v>45881</v>
      </c>
      <c r="F30" s="86"/>
      <c r="G30" s="107">
        <v>45957</v>
      </c>
      <c r="H30" s="100" t="str">
        <f>VLOOKUP($B30,PRESUPUESTOS!$A$4:$H$1026,3,FALSE())</f>
        <v>MUNICIPALIDAD DE JUNIN</v>
      </c>
      <c r="I30" s="105" t="str">
        <f>VLOOKUP($B30,PRESUPUESTOS!$A$4:$H$1026,5,FALSE())</f>
        <v>TERMINALES PARA MANGUERA DE AGUA</v>
      </c>
      <c r="J30" s="106">
        <v>700106</v>
      </c>
      <c r="K30" s="69">
        <v>34</v>
      </c>
      <c r="L30" s="70">
        <f t="shared" si="0"/>
        <v>270765.99550000008</v>
      </c>
      <c r="M30" s="71">
        <f t="shared" si="1"/>
        <v>1225185.5000000005</v>
      </c>
      <c r="N30" s="103">
        <v>1223121.24</v>
      </c>
      <c r="O30" s="72" t="s">
        <v>415</v>
      </c>
      <c r="P30" s="73" t="s">
        <v>340</v>
      </c>
      <c r="Q30" s="86" t="s">
        <v>164</v>
      </c>
      <c r="R30" s="86" t="s">
        <v>164</v>
      </c>
      <c r="S30" s="74" t="s">
        <v>422</v>
      </c>
      <c r="T30" s="74" t="s">
        <v>24</v>
      </c>
      <c r="U30" s="86">
        <v>7769</v>
      </c>
      <c r="V30" s="86" t="s">
        <v>488</v>
      </c>
      <c r="W30" s="107">
        <v>45957</v>
      </c>
      <c r="X30" s="86">
        <v>4606</v>
      </c>
    </row>
    <row r="31" spans="1:24" ht="22.5" customHeight="1" x14ac:dyDescent="0.2">
      <c r="A31" s="86" t="s">
        <v>164</v>
      </c>
      <c r="B31" s="86">
        <v>384</v>
      </c>
      <c r="C31" s="75">
        <v>45889</v>
      </c>
      <c r="D31" s="104">
        <v>45889</v>
      </c>
      <c r="E31" s="104">
        <v>45897</v>
      </c>
      <c r="F31" s="104"/>
      <c r="G31" s="104">
        <v>45909</v>
      </c>
      <c r="H31" s="100" t="str">
        <f>VLOOKUP($B31,PRESUPUESTOS!$A$4:$H$1026,3,FALSE())</f>
        <v>ASHIRA</v>
      </c>
      <c r="I31" s="105" t="str">
        <f>VLOOKUP($B31,PRESUPUESTOS!$A$4:$H$1026,5,FALSE())</f>
        <v>TOBERAS</v>
      </c>
      <c r="J31" s="106">
        <v>1487749</v>
      </c>
      <c r="K31" s="69">
        <v>35</v>
      </c>
      <c r="L31" s="70">
        <f t="shared" si="0"/>
        <v>602349.22436440689</v>
      </c>
      <c r="M31" s="71">
        <f t="shared" si="1"/>
        <v>2647688.898305085</v>
      </c>
      <c r="N31" s="103">
        <v>2640027.61</v>
      </c>
      <c r="O31" s="72" t="s">
        <v>415</v>
      </c>
      <c r="P31" s="73" t="s">
        <v>489</v>
      </c>
      <c r="Q31" s="86" t="s">
        <v>164</v>
      </c>
      <c r="R31" s="86" t="s">
        <v>164</v>
      </c>
      <c r="S31" s="74" t="s">
        <v>422</v>
      </c>
      <c r="T31" s="74" t="s">
        <v>24</v>
      </c>
      <c r="U31" s="86" t="s">
        <v>490</v>
      </c>
      <c r="V31" s="86" t="s">
        <v>491</v>
      </c>
      <c r="W31" s="104">
        <v>45909</v>
      </c>
      <c r="X31" s="76"/>
    </row>
    <row r="32" spans="1:24" ht="22.5" customHeight="1" x14ac:dyDescent="0.2">
      <c r="A32" s="126" t="s">
        <v>164</v>
      </c>
      <c r="B32" s="126">
        <v>399</v>
      </c>
      <c r="C32" s="127">
        <v>45943</v>
      </c>
      <c r="D32" s="128">
        <v>45945</v>
      </c>
      <c r="E32" s="128">
        <v>45957</v>
      </c>
      <c r="F32" s="128"/>
      <c r="G32" s="128">
        <v>45914</v>
      </c>
      <c r="H32" s="129" t="str">
        <f>VLOOKUP($B32,PRESUPUESTOS!$A$4:$H$1026,3,FALSE())</f>
        <v>MUNICIPALIDAD SANTA ROSA</v>
      </c>
      <c r="I32" s="130" t="str">
        <f>VLOOKUP($B32,PRESUPUESTOS!$A$4:$H$1026,5,FALSE())</f>
        <v>BATERIA</v>
      </c>
      <c r="J32" s="131">
        <v>306600</v>
      </c>
      <c r="K32" s="93">
        <v>13</v>
      </c>
      <c r="L32" s="94">
        <f t="shared" si="0"/>
        <v>33584.055555555562</v>
      </c>
      <c r="M32" s="95">
        <f t="shared" si="1"/>
        <v>397444.4444444445</v>
      </c>
      <c r="N32" s="132">
        <v>394763</v>
      </c>
      <c r="O32" s="96" t="s">
        <v>151</v>
      </c>
      <c r="P32" s="97" t="s">
        <v>492</v>
      </c>
      <c r="Q32" s="126" t="s">
        <v>164</v>
      </c>
      <c r="R32" s="126" t="s">
        <v>164</v>
      </c>
      <c r="S32" s="98" t="s">
        <v>422</v>
      </c>
      <c r="T32" s="98" t="s">
        <v>24</v>
      </c>
      <c r="U32" s="126">
        <v>1139</v>
      </c>
      <c r="V32" s="126" t="s">
        <v>493</v>
      </c>
      <c r="W32" s="133">
        <v>45944</v>
      </c>
      <c r="X32" s="126">
        <v>4604</v>
      </c>
    </row>
    <row r="33" spans="1:24" ht="25.5" customHeight="1" x14ac:dyDescent="0.2">
      <c r="A33" s="126" t="s">
        <v>438</v>
      </c>
      <c r="B33" s="126">
        <v>404</v>
      </c>
      <c r="C33" s="127">
        <v>45967</v>
      </c>
      <c r="D33" s="126"/>
      <c r="E33" s="126"/>
      <c r="F33" s="126"/>
      <c r="G33" s="126"/>
      <c r="H33" s="129" t="str">
        <f>VLOOKUP($B33,PRESUPUESTOS!$A$4:$H$1026,3,FALSE())</f>
        <v>AGUAS RIONEGRINAS</v>
      </c>
      <c r="I33" s="130" t="str">
        <f>VLOOKUP($B33,PRESUPUESTOS!$A$4:$H$1026,5,FALSE())</f>
        <v>NOVEDADES</v>
      </c>
      <c r="J33" s="131">
        <v>2161250</v>
      </c>
      <c r="K33" s="93">
        <v>30</v>
      </c>
      <c r="L33" s="94">
        <f t="shared" si="0"/>
        <v>691431.15234375023</v>
      </c>
      <c r="M33" s="95">
        <f t="shared" si="1"/>
        <v>3545800.7812500005</v>
      </c>
      <c r="N33" s="132"/>
      <c r="O33" s="96" t="s">
        <v>494</v>
      </c>
      <c r="P33" s="97" t="s">
        <v>495</v>
      </c>
      <c r="Q33" s="126">
        <v>25</v>
      </c>
      <c r="R33" s="126">
        <v>25</v>
      </c>
      <c r="S33" s="98" t="s">
        <v>422</v>
      </c>
      <c r="T33" s="98" t="s">
        <v>24</v>
      </c>
      <c r="U33" s="126"/>
      <c r="V33" s="126"/>
      <c r="W33" s="126"/>
      <c r="X33" s="126">
        <v>4605</v>
      </c>
    </row>
    <row r="34" spans="1:24" ht="19" x14ac:dyDescent="0.2">
      <c r="A34" s="86" t="s">
        <v>428</v>
      </c>
      <c r="B34" s="86">
        <v>407</v>
      </c>
      <c r="C34" s="85">
        <v>45966</v>
      </c>
      <c r="D34" s="107">
        <v>45967</v>
      </c>
      <c r="E34" s="107">
        <v>45967</v>
      </c>
      <c r="F34" s="107">
        <v>45967</v>
      </c>
      <c r="G34" s="107">
        <v>45967</v>
      </c>
      <c r="H34" s="100" t="str">
        <f>VLOOKUP($B34,PRESUPUESTOS!$A$4:$H$1026,3,FALSE())</f>
        <v>SERVICIOS IBARRA</v>
      </c>
      <c r="I34" s="105" t="str">
        <f>VLOOKUP($B34,PRESUPUESTOS!$A$4:$H$1026,5,FALSE())</f>
        <v>BURLETES</v>
      </c>
      <c r="J34" s="106">
        <v>200000</v>
      </c>
      <c r="K34" s="69">
        <v>65</v>
      </c>
      <c r="L34" s="70">
        <f t="shared" si="0"/>
        <v>305948.27586206904</v>
      </c>
      <c r="M34" s="71">
        <f t="shared" si="1"/>
        <v>724137.9310344829</v>
      </c>
      <c r="N34" s="134">
        <v>724608</v>
      </c>
      <c r="O34" s="72" t="s">
        <v>415</v>
      </c>
      <c r="P34" s="73" t="s">
        <v>496</v>
      </c>
      <c r="Q34" s="86" t="s">
        <v>164</v>
      </c>
      <c r="R34" s="86" t="s">
        <v>164</v>
      </c>
      <c r="S34" s="74" t="s">
        <v>422</v>
      </c>
      <c r="T34" s="74" t="s">
        <v>24</v>
      </c>
      <c r="U34" s="86" t="s">
        <v>497</v>
      </c>
      <c r="V34" s="86" t="s">
        <v>498</v>
      </c>
      <c r="W34" s="107">
        <v>45967</v>
      </c>
      <c r="X34" s="86">
        <v>4607</v>
      </c>
    </row>
    <row r="35" spans="1:24" ht="19" x14ac:dyDescent="0.2">
      <c r="A35" s="126" t="s">
        <v>164</v>
      </c>
      <c r="B35" s="126">
        <v>410</v>
      </c>
      <c r="C35" s="127">
        <v>45990</v>
      </c>
      <c r="D35" s="133">
        <v>45992</v>
      </c>
      <c r="E35" s="133">
        <v>45992</v>
      </c>
      <c r="F35" s="126"/>
      <c r="G35" s="126"/>
      <c r="H35" s="129" t="str">
        <f>VLOOKUP($B35,PRESUPUESTOS!$A$4:$H$1026,3,FALSE())</f>
        <v>COSERCO CORONDA</v>
      </c>
      <c r="I35" s="130" t="str">
        <f>VLOOKUP($B35,PRESUPUESTOS!$A$4:$H$1026,5,FALSE())</f>
        <v>MANGUERA 3/4"</v>
      </c>
      <c r="J35" s="131"/>
      <c r="K35" s="93">
        <v>65</v>
      </c>
      <c r="L35" s="94">
        <f t="shared" si="0"/>
        <v>0</v>
      </c>
      <c r="M35" s="95">
        <f t="shared" si="1"/>
        <v>0</v>
      </c>
      <c r="N35" s="132">
        <v>4283400</v>
      </c>
      <c r="O35" s="96" t="s">
        <v>151</v>
      </c>
      <c r="P35" s="97" t="s">
        <v>499</v>
      </c>
      <c r="Q35" s="126" t="s">
        <v>164</v>
      </c>
      <c r="R35" s="126" t="s">
        <v>164</v>
      </c>
      <c r="S35" s="98" t="s">
        <v>422</v>
      </c>
      <c r="T35" s="98" t="s">
        <v>24</v>
      </c>
      <c r="U35" s="126">
        <v>9614</v>
      </c>
      <c r="V35" s="126" t="s">
        <v>500</v>
      </c>
      <c r="W35" s="126"/>
      <c r="X35" s="126"/>
    </row>
    <row r="36" spans="1:24" ht="17" x14ac:dyDescent="0.2">
      <c r="A36" s="135"/>
      <c r="B36" s="136"/>
      <c r="C36" s="137"/>
      <c r="D36" s="138"/>
      <c r="E36" s="138"/>
      <c r="F36" s="138"/>
      <c r="G36" s="138"/>
      <c r="H36" s="139" t="e">
        <f>VLOOKUP($B36,PRESUPUESTOS!$A$4:$H$1026,3,FALSE())</f>
        <v>#N/A</v>
      </c>
      <c r="I36" s="140" t="e">
        <f>VLOOKUP($B36,PRESUPUESTOS!$A$4:$H$1026,5,FALSE())</f>
        <v>#N/A</v>
      </c>
      <c r="J36" s="141"/>
      <c r="K36" s="142"/>
      <c r="L36" s="142"/>
      <c r="M36" s="142"/>
      <c r="N36" s="142"/>
      <c r="O36" s="137"/>
      <c r="P36" s="143"/>
      <c r="Q36" s="138"/>
      <c r="R36" s="138"/>
      <c r="S36" s="144"/>
      <c r="T36" s="144"/>
      <c r="U36" s="138"/>
      <c r="V36" s="138"/>
      <c r="W36" s="138"/>
      <c r="X36" s="76"/>
    </row>
    <row r="37" spans="1:24" ht="17" x14ac:dyDescent="0.2">
      <c r="A37" s="135"/>
      <c r="B37" s="136"/>
      <c r="C37" s="138"/>
      <c r="D37" s="138"/>
      <c r="E37" s="138"/>
      <c r="F37" s="138"/>
      <c r="G37" s="138"/>
      <c r="H37" s="139" t="e">
        <f>VLOOKUP($B37,PRESUPUESTOS!$A$4:$H$1026,3,FALSE())</f>
        <v>#N/A</v>
      </c>
      <c r="I37" s="140" t="e">
        <f>VLOOKUP($B37,PRESUPUESTOS!$A$4:$H$1026,5,FALSE())</f>
        <v>#N/A</v>
      </c>
      <c r="J37" s="141"/>
      <c r="K37" s="142"/>
      <c r="L37" s="142"/>
      <c r="M37" s="142"/>
      <c r="N37" s="142"/>
      <c r="O37" s="137"/>
      <c r="P37" s="143"/>
      <c r="Q37" s="138"/>
      <c r="R37" s="138"/>
      <c r="S37" s="144"/>
      <c r="T37" s="144"/>
      <c r="U37" s="138"/>
      <c r="V37" s="138"/>
      <c r="W37" s="138"/>
      <c r="X37" s="76"/>
    </row>
    <row r="38" spans="1:24" ht="17" x14ac:dyDescent="0.2">
      <c r="A38" s="135"/>
      <c r="B38" s="136"/>
      <c r="C38" s="138"/>
      <c r="D38" s="138"/>
      <c r="E38" s="138"/>
      <c r="F38" s="138"/>
      <c r="G38" s="138"/>
      <c r="H38" s="139" t="e">
        <f>VLOOKUP($B38,PRESUPUESTOS!$A$4:$H$1026,3,FALSE())</f>
        <v>#N/A</v>
      </c>
      <c r="I38" s="140" t="e">
        <f>VLOOKUP($B38,PRESUPUESTOS!$A$4:$H$1026,5,FALSE())</f>
        <v>#N/A</v>
      </c>
      <c r="J38" s="141"/>
      <c r="K38" s="142"/>
      <c r="L38" s="142"/>
      <c r="M38" s="142"/>
      <c r="N38" s="142"/>
      <c r="O38" s="137"/>
      <c r="P38" s="143"/>
      <c r="Q38" s="138"/>
      <c r="R38" s="138"/>
      <c r="S38" s="144"/>
      <c r="T38" s="144"/>
      <c r="U38" s="138"/>
      <c r="V38" s="138"/>
      <c r="W38" s="138"/>
      <c r="X38" s="76"/>
    </row>
    <row r="39" spans="1:24" ht="17" x14ac:dyDescent="0.2">
      <c r="A39" s="135"/>
      <c r="B39" s="136"/>
      <c r="C39" s="138"/>
      <c r="D39" s="138"/>
      <c r="E39" s="138"/>
      <c r="F39" s="138"/>
      <c r="G39" s="138"/>
      <c r="H39" s="139" t="e">
        <f>VLOOKUP($B39,PRESUPUESTOS!$A$4:$H$1026,3,FALSE())</f>
        <v>#N/A</v>
      </c>
      <c r="I39" s="140" t="e">
        <f>VLOOKUP($B39,PRESUPUESTOS!$A$4:$H$1026,5,FALSE())</f>
        <v>#N/A</v>
      </c>
      <c r="J39" s="141"/>
      <c r="K39" s="142"/>
      <c r="L39" s="142"/>
      <c r="M39" s="142"/>
      <c r="N39" s="142"/>
      <c r="O39" s="137"/>
      <c r="P39" s="143"/>
      <c r="Q39" s="138"/>
      <c r="R39" s="138"/>
      <c r="S39" s="144"/>
      <c r="T39" s="144"/>
      <c r="U39" s="138"/>
      <c r="V39" s="138"/>
      <c r="W39" s="138"/>
      <c r="X39" s="76"/>
    </row>
    <row r="40" spans="1:24" ht="17" x14ac:dyDescent="0.2">
      <c r="A40" s="135"/>
      <c r="B40" s="136"/>
      <c r="C40" s="138"/>
      <c r="D40" s="138"/>
      <c r="E40" s="138"/>
      <c r="F40" s="138"/>
      <c r="G40" s="138"/>
      <c r="H40" s="139" t="e">
        <f>VLOOKUP($B40,PRESUPUESTOS!$A$4:$H$1026,3,FALSE())</f>
        <v>#N/A</v>
      </c>
      <c r="I40" s="140" t="e">
        <f>VLOOKUP($B40,PRESUPUESTOS!$A$4:$H$1026,5,FALSE())</f>
        <v>#N/A</v>
      </c>
      <c r="J40" s="141"/>
      <c r="K40" s="142"/>
      <c r="L40" s="142"/>
      <c r="M40" s="142"/>
      <c r="N40" s="142"/>
      <c r="O40" s="137"/>
      <c r="P40" s="143"/>
      <c r="Q40" s="138"/>
      <c r="R40" s="138"/>
      <c r="S40" s="144"/>
      <c r="T40" s="144"/>
      <c r="U40" s="138"/>
      <c r="V40" s="138"/>
      <c r="W40" s="138"/>
      <c r="X40" s="76"/>
    </row>
    <row r="41" spans="1:24" ht="17" x14ac:dyDescent="0.2">
      <c r="A41" s="135"/>
      <c r="B41" s="136"/>
      <c r="C41" s="138"/>
      <c r="D41" s="138"/>
      <c r="E41" s="138"/>
      <c r="F41" s="138"/>
      <c r="G41" s="138"/>
      <c r="H41" s="139" t="e">
        <f>VLOOKUP($B41,PRESUPUESTOS!$A$4:$H$1026,3,FALSE())</f>
        <v>#N/A</v>
      </c>
      <c r="I41" s="140" t="e">
        <f>VLOOKUP($B41,PRESUPUESTOS!$A$4:$H$1026,5,FALSE())</f>
        <v>#N/A</v>
      </c>
      <c r="J41" s="141"/>
      <c r="K41" s="142"/>
      <c r="L41" s="142"/>
      <c r="M41" s="142"/>
      <c r="N41" s="142"/>
      <c r="O41" s="137"/>
      <c r="P41" s="143"/>
      <c r="Q41" s="138"/>
      <c r="R41" s="138"/>
      <c r="S41" s="144"/>
      <c r="T41" s="144"/>
      <c r="U41" s="138"/>
      <c r="V41" s="138"/>
      <c r="W41" s="138"/>
      <c r="X41" s="76"/>
    </row>
    <row r="42" spans="1:24" ht="17" x14ac:dyDescent="0.2">
      <c r="A42" s="135"/>
      <c r="B42" s="136"/>
      <c r="C42" s="138"/>
      <c r="D42" s="138"/>
      <c r="E42" s="138"/>
      <c r="F42" s="138"/>
      <c r="G42" s="138"/>
      <c r="H42" s="139" t="e">
        <f>VLOOKUP($B42,PRESUPUESTOS!$A$4:$H$1026,3,FALSE())</f>
        <v>#N/A</v>
      </c>
      <c r="I42" s="140" t="e">
        <f>VLOOKUP($B42,PRESUPUESTOS!$A$4:$H$1026,5,FALSE())</f>
        <v>#N/A</v>
      </c>
      <c r="J42" s="141"/>
      <c r="K42" s="142"/>
      <c r="L42" s="142"/>
      <c r="M42" s="142"/>
      <c r="N42" s="142"/>
      <c r="O42" s="138"/>
      <c r="P42" s="143"/>
      <c r="Q42" s="138"/>
      <c r="R42" s="138"/>
      <c r="S42" s="144"/>
      <c r="T42" s="144"/>
      <c r="U42" s="138"/>
      <c r="V42" s="138"/>
      <c r="W42" s="138"/>
      <c r="X42" s="76"/>
    </row>
    <row r="43" spans="1:24" ht="17" x14ac:dyDescent="0.2">
      <c r="A43" s="135"/>
      <c r="B43" s="136"/>
      <c r="C43" s="138"/>
      <c r="D43" s="138"/>
      <c r="E43" s="138"/>
      <c r="F43" s="138"/>
      <c r="G43" s="138"/>
      <c r="H43" s="139" t="e">
        <f>VLOOKUP($B43,PRESUPUESTOS!$A$4:$H$1026,3,FALSE())</f>
        <v>#N/A</v>
      </c>
      <c r="I43" s="140" t="e">
        <f>VLOOKUP($B43,PRESUPUESTOS!$A$4:$H$1026,5,FALSE())</f>
        <v>#N/A</v>
      </c>
      <c r="J43" s="141"/>
      <c r="K43" s="142"/>
      <c r="L43" s="142"/>
      <c r="M43" s="142"/>
      <c r="N43" s="142"/>
      <c r="O43" s="138"/>
      <c r="P43" s="143"/>
      <c r="Q43" s="138"/>
      <c r="R43" s="138"/>
      <c r="S43" s="144"/>
      <c r="T43" s="144"/>
      <c r="U43" s="138"/>
      <c r="V43" s="138"/>
      <c r="W43" s="138"/>
      <c r="X43" s="76"/>
    </row>
    <row r="44" spans="1:24" ht="17" x14ac:dyDescent="0.2">
      <c r="A44" s="135"/>
      <c r="B44" s="136"/>
      <c r="C44" s="138"/>
      <c r="D44" s="138"/>
      <c r="E44" s="138"/>
      <c r="F44" s="138"/>
      <c r="G44" s="138"/>
      <c r="H44" s="139" t="e">
        <f>VLOOKUP($B44,PRESUPUESTOS!$A$4:$H$1026,3,FALSE())</f>
        <v>#N/A</v>
      </c>
      <c r="I44" s="140" t="e">
        <f>VLOOKUP($B44,PRESUPUESTOS!$A$4:$H$1026,5,FALSE())</f>
        <v>#N/A</v>
      </c>
      <c r="J44" s="141"/>
      <c r="K44" s="142"/>
      <c r="L44" s="142"/>
      <c r="M44" s="142"/>
      <c r="N44" s="142"/>
      <c r="O44" s="138"/>
      <c r="P44" s="143"/>
      <c r="Q44" s="138"/>
      <c r="R44" s="138"/>
      <c r="S44" s="144"/>
      <c r="T44" s="144"/>
      <c r="U44" s="138"/>
      <c r="V44" s="138"/>
      <c r="W44" s="138"/>
      <c r="X44" s="76"/>
    </row>
    <row r="45" spans="1:24" ht="17" x14ac:dyDescent="0.2">
      <c r="A45" s="135"/>
      <c r="B45" s="136"/>
      <c r="C45" s="138"/>
      <c r="D45" s="138"/>
      <c r="E45" s="138"/>
      <c r="F45" s="138"/>
      <c r="G45" s="138"/>
      <c r="H45" s="139" t="e">
        <f>VLOOKUP($B45,PRESUPUESTOS!$A$4:$H$1026,3,FALSE())</f>
        <v>#N/A</v>
      </c>
      <c r="I45" s="140" t="e">
        <f>VLOOKUP($B45,PRESUPUESTOS!$A$4:$H$1026,5,FALSE())</f>
        <v>#N/A</v>
      </c>
      <c r="J45" s="141"/>
      <c r="K45" s="142"/>
      <c r="L45" s="142"/>
      <c r="M45" s="142"/>
      <c r="N45" s="142"/>
      <c r="O45" s="138"/>
      <c r="P45" s="143"/>
      <c r="Q45" s="138"/>
      <c r="R45" s="138"/>
      <c r="S45" s="144"/>
      <c r="T45" s="144"/>
      <c r="U45" s="138"/>
      <c r="V45" s="138"/>
      <c r="W45" s="138"/>
      <c r="X45" s="76"/>
    </row>
    <row r="46" spans="1:24" ht="17" x14ac:dyDescent="0.2">
      <c r="A46" s="135"/>
      <c r="B46" s="136"/>
      <c r="C46" s="138"/>
      <c r="D46" s="138"/>
      <c r="E46" s="138"/>
      <c r="F46" s="138"/>
      <c r="G46" s="138"/>
      <c r="H46" s="139" t="e">
        <f>VLOOKUP($B46,PRESUPUESTOS!$A$4:$H$1026,3,FALSE())</f>
        <v>#N/A</v>
      </c>
      <c r="I46" s="140" t="e">
        <f>VLOOKUP($B46,PRESUPUESTOS!$A$4:$H$1026,5,FALSE())</f>
        <v>#N/A</v>
      </c>
      <c r="J46" s="141"/>
      <c r="K46" s="142"/>
      <c r="L46" s="142"/>
      <c r="M46" s="142"/>
      <c r="N46" s="142"/>
      <c r="O46" s="138"/>
      <c r="P46" s="143"/>
      <c r="Q46" s="138"/>
      <c r="R46" s="138"/>
      <c r="S46" s="144"/>
      <c r="T46" s="144"/>
      <c r="U46" s="138"/>
      <c r="V46" s="138"/>
      <c r="W46" s="138"/>
      <c r="X46" s="76"/>
    </row>
    <row r="47" spans="1:24" ht="17" x14ac:dyDescent="0.2">
      <c r="A47" s="135"/>
      <c r="B47" s="136"/>
      <c r="C47" s="138"/>
      <c r="D47" s="138"/>
      <c r="E47" s="138"/>
      <c r="F47" s="138"/>
      <c r="G47" s="138"/>
      <c r="H47" s="139" t="e">
        <f>VLOOKUP($B47,PRESUPUESTOS!$A$4:$H$1026,3,FALSE())</f>
        <v>#N/A</v>
      </c>
      <c r="I47" s="140" t="e">
        <f>VLOOKUP($B47,PRESUPUESTOS!$A$4:$H$1026,5,FALSE())</f>
        <v>#N/A</v>
      </c>
      <c r="J47" s="141"/>
      <c r="K47" s="142"/>
      <c r="L47" s="142"/>
      <c r="M47" s="142"/>
      <c r="N47" s="142"/>
      <c r="O47" s="138"/>
      <c r="P47" s="143"/>
      <c r="Q47" s="138"/>
      <c r="R47" s="138"/>
      <c r="S47" s="144"/>
      <c r="T47" s="144"/>
      <c r="U47" s="138"/>
      <c r="V47" s="138"/>
      <c r="W47" s="138"/>
      <c r="X47" s="76"/>
    </row>
    <row r="48" spans="1:24" ht="17" x14ac:dyDescent="0.2">
      <c r="A48" s="135"/>
      <c r="B48" s="136"/>
      <c r="C48" s="138"/>
      <c r="D48" s="138"/>
      <c r="E48" s="138"/>
      <c r="F48" s="138"/>
      <c r="G48" s="138"/>
      <c r="H48" s="139" t="e">
        <f>VLOOKUP($B48,PRESUPUESTOS!$A$4:$H$1026,3,FALSE())</f>
        <v>#N/A</v>
      </c>
      <c r="I48" s="140" t="e">
        <f>VLOOKUP($B48,PRESUPUESTOS!$A$4:$H$1026,5,FALSE())</f>
        <v>#N/A</v>
      </c>
      <c r="J48" s="141"/>
      <c r="K48" s="142"/>
      <c r="L48" s="142"/>
      <c r="M48" s="142"/>
      <c r="N48" s="142"/>
      <c r="O48" s="138"/>
      <c r="P48" s="143"/>
      <c r="Q48" s="138"/>
      <c r="R48" s="138"/>
      <c r="S48" s="144"/>
      <c r="T48" s="144"/>
      <c r="U48" s="138"/>
      <c r="V48" s="138"/>
      <c r="W48" s="138"/>
      <c r="X48" s="76"/>
    </row>
    <row r="49" spans="1:24" ht="17" x14ac:dyDescent="0.2">
      <c r="A49" s="135"/>
      <c r="B49" s="136"/>
      <c r="C49" s="138"/>
      <c r="D49" s="138"/>
      <c r="E49" s="138"/>
      <c r="F49" s="138"/>
      <c r="G49" s="138"/>
      <c r="H49" s="139" t="e">
        <f>VLOOKUP($B49,PRESUPUESTOS!$A$4:$H$1026,3,FALSE())</f>
        <v>#N/A</v>
      </c>
      <c r="I49" s="140" t="e">
        <f>VLOOKUP($B49,PRESUPUESTOS!$A$4:$H$1026,5,FALSE())</f>
        <v>#N/A</v>
      </c>
      <c r="J49" s="141"/>
      <c r="K49" s="142"/>
      <c r="L49" s="142"/>
      <c r="M49" s="142"/>
      <c r="N49" s="142"/>
      <c r="O49" s="138"/>
      <c r="P49" s="143"/>
      <c r="Q49" s="138"/>
      <c r="R49" s="138"/>
      <c r="S49" s="144"/>
      <c r="T49" s="144"/>
      <c r="U49" s="138"/>
      <c r="V49" s="138"/>
      <c r="W49" s="138"/>
      <c r="X49" s="76"/>
    </row>
    <row r="50" spans="1:24" ht="17" x14ac:dyDescent="0.2">
      <c r="A50" s="135"/>
      <c r="B50" s="136"/>
      <c r="C50" s="138"/>
      <c r="D50" s="138"/>
      <c r="E50" s="138"/>
      <c r="F50" s="138"/>
      <c r="G50" s="138"/>
      <c r="H50" s="139" t="e">
        <f>VLOOKUP($B50,PRESUPUESTOS!$A$4:$H$1026,3,FALSE())</f>
        <v>#N/A</v>
      </c>
      <c r="I50" s="140" t="e">
        <f>VLOOKUP($B50,PRESUPUESTOS!$A$4:$H$1026,5,FALSE())</f>
        <v>#N/A</v>
      </c>
      <c r="J50" s="141"/>
      <c r="K50" s="142"/>
      <c r="L50" s="142"/>
      <c r="M50" s="142"/>
      <c r="N50" s="142"/>
      <c r="O50" s="138"/>
      <c r="P50" s="143"/>
      <c r="Q50" s="138"/>
      <c r="R50" s="138"/>
      <c r="S50" s="144"/>
      <c r="T50" s="144"/>
      <c r="U50" s="138"/>
      <c r="V50" s="138"/>
      <c r="W50" s="138"/>
      <c r="X50" s="76"/>
    </row>
    <row r="51" spans="1:24" ht="17" x14ac:dyDescent="0.2">
      <c r="A51" s="135"/>
      <c r="B51" s="136"/>
      <c r="C51" s="138"/>
      <c r="D51" s="138"/>
      <c r="E51" s="138"/>
      <c r="F51" s="138"/>
      <c r="G51" s="138"/>
      <c r="H51" s="139" t="e">
        <f>VLOOKUP($B51,PRESUPUESTOS!$A$4:$H$1026,3,FALSE())</f>
        <v>#N/A</v>
      </c>
      <c r="I51" s="140" t="e">
        <f>VLOOKUP($B51,PRESUPUESTOS!$A$4:$H$1026,5,FALSE())</f>
        <v>#N/A</v>
      </c>
      <c r="J51" s="141"/>
      <c r="K51" s="142"/>
      <c r="L51" s="142"/>
      <c r="M51" s="142"/>
      <c r="N51" s="142"/>
      <c r="O51" s="138"/>
      <c r="P51" s="143"/>
      <c r="Q51" s="138"/>
      <c r="R51" s="138"/>
      <c r="S51" s="144"/>
      <c r="T51" s="144"/>
      <c r="U51" s="138"/>
      <c r="V51" s="138"/>
      <c r="W51" s="138"/>
      <c r="X51" s="76"/>
    </row>
    <row r="52" spans="1:24" ht="17" x14ac:dyDescent="0.2">
      <c r="A52" s="135"/>
      <c r="B52" s="136"/>
      <c r="C52" s="138"/>
      <c r="D52" s="138"/>
      <c r="E52" s="138"/>
      <c r="F52" s="138"/>
      <c r="G52" s="138"/>
      <c r="H52" s="139" t="e">
        <f>VLOOKUP($B52,PRESUPUESTOS!$A$4:$H$1026,3,FALSE())</f>
        <v>#N/A</v>
      </c>
      <c r="I52" s="140" t="e">
        <f>VLOOKUP($B52,PRESUPUESTOS!$A$4:$H$1026,5,FALSE())</f>
        <v>#N/A</v>
      </c>
      <c r="J52" s="141"/>
      <c r="K52" s="142"/>
      <c r="L52" s="142"/>
      <c r="M52" s="142"/>
      <c r="N52" s="142"/>
      <c r="O52" s="138"/>
      <c r="P52" s="143"/>
      <c r="Q52" s="138"/>
      <c r="R52" s="138"/>
      <c r="S52" s="144"/>
      <c r="T52" s="144"/>
      <c r="U52" s="138"/>
      <c r="V52" s="138"/>
      <c r="W52" s="138"/>
    </row>
    <row r="53" spans="1:24" ht="17" x14ac:dyDescent="0.2">
      <c r="A53" s="135"/>
      <c r="B53" s="136"/>
      <c r="C53" s="138"/>
      <c r="D53" s="138"/>
      <c r="E53" s="138"/>
      <c r="F53" s="138"/>
      <c r="G53" s="138"/>
      <c r="H53" s="139" t="e">
        <f>VLOOKUP($B53,PRESUPUESTOS!$A$4:$H$1026,3,FALSE())</f>
        <v>#N/A</v>
      </c>
      <c r="I53" s="140" t="e">
        <f>VLOOKUP($B53,PRESUPUESTOS!$A$4:$H$1026,5,FALSE())</f>
        <v>#N/A</v>
      </c>
      <c r="J53" s="141"/>
      <c r="K53" s="142"/>
      <c r="L53" s="142"/>
      <c r="M53" s="142"/>
      <c r="N53" s="142"/>
      <c r="O53" s="138"/>
      <c r="P53" s="143"/>
      <c r="Q53" s="138"/>
      <c r="R53" s="138"/>
      <c r="S53" s="144"/>
      <c r="T53" s="144"/>
      <c r="U53" s="138"/>
      <c r="V53" s="138"/>
      <c r="W53" s="138"/>
    </row>
    <row r="54" spans="1:24" ht="17" x14ac:dyDescent="0.2">
      <c r="A54" s="135"/>
      <c r="B54" s="136"/>
      <c r="C54" s="138"/>
      <c r="D54" s="138"/>
      <c r="E54" s="138"/>
      <c r="F54" s="138"/>
      <c r="G54" s="138"/>
      <c r="H54" s="139" t="e">
        <f>VLOOKUP($B54,PRESUPUESTOS!$A$4:$H$1026,3,FALSE())</f>
        <v>#N/A</v>
      </c>
      <c r="I54" s="140" t="e">
        <f>VLOOKUP($B54,PRESUPUESTOS!$A$4:$H$1026,5,FALSE())</f>
        <v>#N/A</v>
      </c>
      <c r="J54" s="141"/>
      <c r="K54" s="142"/>
      <c r="L54" s="142"/>
      <c r="M54" s="142"/>
      <c r="N54" s="142"/>
      <c r="O54" s="138"/>
      <c r="P54" s="143"/>
      <c r="Q54" s="138"/>
      <c r="R54" s="138"/>
      <c r="S54" s="144"/>
      <c r="T54" s="144"/>
      <c r="U54" s="138"/>
      <c r="V54" s="138"/>
      <c r="W54" s="138"/>
    </row>
    <row r="55" spans="1:24" ht="17" x14ac:dyDescent="0.2">
      <c r="A55" s="135"/>
      <c r="B55" s="136"/>
      <c r="C55" s="138"/>
      <c r="D55" s="138"/>
      <c r="E55" s="138"/>
      <c r="F55" s="138"/>
      <c r="G55" s="138"/>
      <c r="H55" s="139" t="e">
        <f>VLOOKUP($B55,PRESUPUESTOS!$A$4:$H$1026,3,FALSE())</f>
        <v>#N/A</v>
      </c>
      <c r="I55" s="140" t="e">
        <f>VLOOKUP($B55,PRESUPUESTOS!$A$4:$H$1026,5,FALSE())</f>
        <v>#N/A</v>
      </c>
      <c r="J55" s="141"/>
      <c r="K55" s="142"/>
      <c r="L55" s="142"/>
      <c r="M55" s="142"/>
      <c r="N55" s="142"/>
      <c r="O55" s="138"/>
      <c r="P55" s="143"/>
      <c r="Q55" s="138"/>
      <c r="R55" s="138"/>
      <c r="S55" s="144"/>
      <c r="T55" s="144"/>
      <c r="U55" s="138"/>
      <c r="V55" s="138"/>
      <c r="W55" s="138"/>
    </row>
    <row r="56" spans="1:24" ht="17" x14ac:dyDescent="0.2">
      <c r="A56" s="135"/>
      <c r="B56" s="136"/>
      <c r="C56" s="138"/>
      <c r="D56" s="138"/>
      <c r="E56" s="138"/>
      <c r="F56" s="138"/>
      <c r="G56" s="138"/>
      <c r="H56" s="139" t="e">
        <f>VLOOKUP($B56,PRESUPUESTOS!$A$4:$H$1026,3,FALSE())</f>
        <v>#N/A</v>
      </c>
      <c r="I56" s="140" t="e">
        <f>VLOOKUP($B56,PRESUPUESTOS!$A$4:$H$1026,5,FALSE())</f>
        <v>#N/A</v>
      </c>
      <c r="J56" s="141"/>
      <c r="K56" s="142"/>
      <c r="L56" s="142"/>
      <c r="M56" s="142"/>
      <c r="N56" s="142"/>
      <c r="O56" s="138"/>
      <c r="P56" s="143"/>
      <c r="Q56" s="138"/>
      <c r="R56" s="138"/>
      <c r="S56" s="144"/>
      <c r="T56" s="144"/>
      <c r="U56" s="138"/>
      <c r="V56" s="138"/>
      <c r="W56" s="138"/>
    </row>
    <row r="57" spans="1:24" ht="17" x14ac:dyDescent="0.2">
      <c r="A57" s="135"/>
      <c r="B57" s="136"/>
      <c r="C57" s="138"/>
      <c r="D57" s="138"/>
      <c r="E57" s="138"/>
      <c r="F57" s="138"/>
      <c r="G57" s="138"/>
      <c r="H57" s="139" t="e">
        <f>VLOOKUP($B57,PRESUPUESTOS!$A$4:$H$1026,3,FALSE())</f>
        <v>#N/A</v>
      </c>
      <c r="I57" s="140" t="e">
        <f>VLOOKUP($B57,PRESUPUESTOS!$A$4:$H$1026,5,FALSE())</f>
        <v>#N/A</v>
      </c>
      <c r="J57" s="141"/>
      <c r="K57" s="142"/>
      <c r="L57" s="142"/>
      <c r="M57" s="142"/>
      <c r="N57" s="142"/>
      <c r="O57" s="138"/>
      <c r="P57" s="143"/>
      <c r="Q57" s="138"/>
      <c r="R57" s="138"/>
      <c r="S57" s="144"/>
      <c r="T57" s="144"/>
      <c r="U57" s="138"/>
      <c r="V57" s="138"/>
      <c r="W57" s="138"/>
    </row>
    <row r="58" spans="1:24" ht="17" x14ac:dyDescent="0.2">
      <c r="A58" s="135"/>
      <c r="B58" s="136"/>
      <c r="C58" s="138"/>
      <c r="D58" s="138"/>
      <c r="E58" s="138"/>
      <c r="F58" s="138"/>
      <c r="G58" s="138"/>
      <c r="H58" s="139" t="e">
        <f>VLOOKUP($B58,PRESUPUESTOS!$A$4:$H$1026,3,FALSE())</f>
        <v>#N/A</v>
      </c>
      <c r="I58" s="140" t="e">
        <f>VLOOKUP($B58,PRESUPUESTOS!$A$4:$H$1026,5,FALSE())</f>
        <v>#N/A</v>
      </c>
      <c r="J58" s="141"/>
      <c r="K58" s="142"/>
      <c r="L58" s="142"/>
      <c r="M58" s="142"/>
      <c r="N58" s="142"/>
      <c r="O58" s="138"/>
      <c r="P58" s="143"/>
      <c r="Q58" s="138"/>
      <c r="R58" s="138"/>
      <c r="S58" s="144"/>
      <c r="T58" s="144"/>
      <c r="U58" s="138"/>
      <c r="V58" s="138"/>
      <c r="W58" s="138"/>
    </row>
    <row r="59" spans="1:24" ht="17" x14ac:dyDescent="0.2">
      <c r="A59" s="135"/>
      <c r="B59" s="136"/>
      <c r="C59" s="138"/>
      <c r="D59" s="138"/>
      <c r="E59" s="138"/>
      <c r="F59" s="138"/>
      <c r="G59" s="138"/>
      <c r="H59" s="139" t="e">
        <f>VLOOKUP($B59,PRESUPUESTOS!$A$4:$H$1026,3,FALSE())</f>
        <v>#N/A</v>
      </c>
      <c r="I59" s="140" t="e">
        <f>VLOOKUP($B59,PRESUPUESTOS!$A$4:$H$1026,5,FALSE())</f>
        <v>#N/A</v>
      </c>
      <c r="J59" s="141"/>
      <c r="K59" s="142"/>
      <c r="L59" s="142"/>
      <c r="M59" s="142"/>
      <c r="N59" s="142"/>
      <c r="O59" s="138"/>
      <c r="P59" s="143"/>
      <c r="Q59" s="138"/>
      <c r="R59" s="138"/>
      <c r="S59" s="144"/>
      <c r="T59" s="144"/>
      <c r="U59" s="138"/>
      <c r="V59" s="138"/>
      <c r="W59" s="138"/>
    </row>
    <row r="60" spans="1:24" ht="17" x14ac:dyDescent="0.2">
      <c r="A60" s="135"/>
      <c r="B60" s="136"/>
      <c r="C60" s="138"/>
      <c r="D60" s="138"/>
      <c r="E60" s="138"/>
      <c r="F60" s="138"/>
      <c r="G60" s="138"/>
      <c r="H60" s="139" t="e">
        <f>VLOOKUP($B60,PRESUPUESTOS!$A$4:$H$1026,3,FALSE())</f>
        <v>#N/A</v>
      </c>
      <c r="I60" s="140" t="e">
        <f>VLOOKUP($B60,PRESUPUESTOS!$A$4:$H$1026,5,FALSE())</f>
        <v>#N/A</v>
      </c>
      <c r="J60" s="141"/>
      <c r="K60" s="142"/>
      <c r="L60" s="142"/>
      <c r="M60" s="142"/>
      <c r="N60" s="142"/>
      <c r="O60" s="138"/>
      <c r="P60" s="143"/>
      <c r="Q60" s="138"/>
      <c r="R60" s="138"/>
      <c r="S60" s="144"/>
      <c r="T60" s="144"/>
      <c r="U60" s="138"/>
      <c r="V60" s="138"/>
      <c r="W60" s="138"/>
    </row>
    <row r="61" spans="1:24" ht="17" x14ac:dyDescent="0.2">
      <c r="A61" s="135"/>
      <c r="B61" s="136"/>
      <c r="C61" s="138"/>
      <c r="D61" s="138"/>
      <c r="E61" s="138"/>
      <c r="F61" s="138"/>
      <c r="G61" s="138"/>
      <c r="H61" s="139" t="e">
        <f>VLOOKUP($B61,PRESUPUESTOS!$A$4:$H$1026,3,FALSE())</f>
        <v>#N/A</v>
      </c>
      <c r="I61" s="140" t="e">
        <f>VLOOKUP($B61,PRESUPUESTOS!$A$4:$H$1026,5,FALSE())</f>
        <v>#N/A</v>
      </c>
      <c r="J61" s="141"/>
      <c r="K61" s="142"/>
      <c r="L61" s="142"/>
      <c r="M61" s="142"/>
      <c r="N61" s="142"/>
      <c r="O61" s="138"/>
      <c r="P61" s="143"/>
      <c r="Q61" s="138"/>
      <c r="R61" s="138"/>
      <c r="S61" s="144"/>
      <c r="T61" s="144"/>
      <c r="U61" s="138"/>
      <c r="V61" s="138"/>
      <c r="W61" s="138"/>
    </row>
    <row r="62" spans="1:24" ht="17" x14ac:dyDescent="0.2">
      <c r="A62" s="135"/>
      <c r="B62" s="136"/>
      <c r="C62" s="138"/>
      <c r="D62" s="138"/>
      <c r="E62" s="138"/>
      <c r="F62" s="138"/>
      <c r="G62" s="138"/>
      <c r="H62" s="139" t="e">
        <f>VLOOKUP($B62,PRESUPUESTOS!$A$4:$H$1026,3,FALSE())</f>
        <v>#N/A</v>
      </c>
      <c r="I62" s="140" t="e">
        <f>VLOOKUP($B62,PRESUPUESTOS!$A$4:$H$1026,5,FALSE())</f>
        <v>#N/A</v>
      </c>
      <c r="J62" s="141"/>
      <c r="K62" s="142"/>
      <c r="L62" s="142"/>
      <c r="M62" s="142"/>
      <c r="N62" s="142"/>
      <c r="O62" s="138"/>
      <c r="P62" s="143"/>
      <c r="Q62" s="138"/>
      <c r="R62" s="138"/>
      <c r="S62" s="144"/>
      <c r="T62" s="144"/>
      <c r="U62" s="138"/>
      <c r="V62" s="138"/>
      <c r="W62" s="138"/>
    </row>
    <row r="63" spans="1:24" ht="17" x14ac:dyDescent="0.2">
      <c r="A63" s="135"/>
      <c r="B63" s="136"/>
      <c r="C63" s="138"/>
      <c r="D63" s="138"/>
      <c r="E63" s="138"/>
      <c r="F63" s="138"/>
      <c r="G63" s="138"/>
      <c r="H63" s="139" t="e">
        <f>VLOOKUP($B63,PRESUPUESTOS!$A$4:$H$1026,3,FALSE())</f>
        <v>#N/A</v>
      </c>
      <c r="I63" s="140" t="e">
        <f>VLOOKUP($B63,PRESUPUESTOS!$A$4:$H$1026,5,FALSE())</f>
        <v>#N/A</v>
      </c>
      <c r="J63" s="141"/>
      <c r="K63" s="142"/>
      <c r="L63" s="142"/>
      <c r="M63" s="142"/>
      <c r="N63" s="142"/>
      <c r="O63" s="138"/>
      <c r="P63" s="143"/>
      <c r="Q63" s="138"/>
      <c r="R63" s="138"/>
      <c r="S63" s="144"/>
      <c r="T63" s="144"/>
      <c r="U63" s="138"/>
      <c r="V63" s="138"/>
      <c r="W63" s="138"/>
    </row>
    <row r="64" spans="1:24" ht="17" x14ac:dyDescent="0.2">
      <c r="A64" s="135"/>
      <c r="B64" s="136"/>
      <c r="C64" s="138"/>
      <c r="D64" s="138"/>
      <c r="E64" s="138"/>
      <c r="F64" s="138"/>
      <c r="G64" s="138"/>
      <c r="H64" s="139" t="e">
        <f>VLOOKUP($B64,PRESUPUESTOS!$A$4:$H$1026,3,FALSE())</f>
        <v>#N/A</v>
      </c>
      <c r="I64" s="140" t="e">
        <f>VLOOKUP($B64,PRESUPUESTOS!$A$4:$H$1026,5,FALSE())</f>
        <v>#N/A</v>
      </c>
      <c r="J64" s="141"/>
      <c r="K64" s="142"/>
      <c r="L64" s="142"/>
      <c r="M64" s="142"/>
      <c r="N64" s="142"/>
      <c r="O64" s="138"/>
      <c r="P64" s="143"/>
      <c r="Q64" s="138"/>
      <c r="R64" s="138"/>
      <c r="S64" s="144"/>
      <c r="T64" s="144"/>
      <c r="U64" s="138"/>
      <c r="V64" s="138"/>
      <c r="W64" s="138"/>
    </row>
    <row r="65" spans="1:23" ht="17" x14ac:dyDescent="0.2">
      <c r="A65" s="135"/>
      <c r="B65" s="136"/>
      <c r="C65" s="138"/>
      <c r="D65" s="138"/>
      <c r="E65" s="138"/>
      <c r="F65" s="138"/>
      <c r="G65" s="138"/>
      <c r="H65" s="139" t="e">
        <f>VLOOKUP($B65,PRESUPUESTOS!$A$4:$H$1026,3,FALSE())</f>
        <v>#N/A</v>
      </c>
      <c r="I65" s="140" t="e">
        <f>VLOOKUP($B65,PRESUPUESTOS!$A$4:$H$1026,5,FALSE())</f>
        <v>#N/A</v>
      </c>
      <c r="J65" s="141"/>
      <c r="K65" s="142"/>
      <c r="L65" s="142"/>
      <c r="M65" s="142"/>
      <c r="N65" s="142"/>
      <c r="O65" s="138"/>
      <c r="P65" s="143"/>
      <c r="Q65" s="138"/>
      <c r="R65" s="138"/>
      <c r="S65" s="144"/>
      <c r="T65" s="144"/>
      <c r="U65" s="138"/>
      <c r="V65" s="138"/>
      <c r="W65" s="138"/>
    </row>
    <row r="66" spans="1:23" ht="17" x14ac:dyDescent="0.2">
      <c r="A66" s="135"/>
      <c r="B66" s="136"/>
      <c r="C66" s="138"/>
      <c r="D66" s="138"/>
      <c r="E66" s="138"/>
      <c r="F66" s="138"/>
      <c r="G66" s="138"/>
      <c r="H66" s="139" t="e">
        <f>VLOOKUP($B66,PRESUPUESTOS!$A$4:$H$1026,3,FALSE())</f>
        <v>#N/A</v>
      </c>
      <c r="I66" s="140" t="e">
        <f>VLOOKUP($B66,PRESUPUESTOS!$A$4:$H$1026,5,FALSE())</f>
        <v>#N/A</v>
      </c>
      <c r="J66" s="141"/>
      <c r="K66" s="142"/>
      <c r="L66" s="142"/>
      <c r="M66" s="142"/>
      <c r="N66" s="142"/>
      <c r="O66" s="138"/>
      <c r="P66" s="143"/>
      <c r="Q66" s="138"/>
      <c r="R66" s="138"/>
      <c r="S66" s="144"/>
      <c r="T66" s="144"/>
      <c r="U66" s="138"/>
      <c r="V66" s="138"/>
      <c r="W66" s="138"/>
    </row>
    <row r="67" spans="1:23" ht="17" x14ac:dyDescent="0.2">
      <c r="A67" s="135"/>
      <c r="B67" s="136"/>
      <c r="C67" s="138"/>
      <c r="D67" s="138"/>
      <c r="E67" s="138"/>
      <c r="F67" s="138"/>
      <c r="G67" s="138"/>
      <c r="H67" s="139" t="e">
        <f>VLOOKUP($B67,PRESUPUESTOS!$A$4:$H$1026,3,FALSE())</f>
        <v>#N/A</v>
      </c>
      <c r="I67" s="140" t="e">
        <f>VLOOKUP($B67,PRESUPUESTOS!$A$4:$H$1026,5,FALSE())</f>
        <v>#N/A</v>
      </c>
      <c r="J67" s="141"/>
      <c r="K67" s="142"/>
      <c r="L67" s="142"/>
      <c r="M67" s="142"/>
      <c r="N67" s="142"/>
      <c r="O67" s="138"/>
      <c r="P67" s="143"/>
      <c r="Q67" s="138"/>
      <c r="R67" s="138"/>
      <c r="S67" s="144"/>
      <c r="T67" s="144"/>
      <c r="U67" s="138"/>
      <c r="V67" s="138"/>
      <c r="W67" s="138"/>
    </row>
    <row r="68" spans="1:23" ht="17" x14ac:dyDescent="0.2">
      <c r="A68" s="135"/>
      <c r="B68" s="136"/>
      <c r="C68" s="138"/>
      <c r="D68" s="138"/>
      <c r="E68" s="138"/>
      <c r="F68" s="138"/>
      <c r="G68" s="138"/>
      <c r="H68" s="139" t="e">
        <f>VLOOKUP($B68,PRESUPUESTOS!$A$4:$H$1026,3,FALSE())</f>
        <v>#N/A</v>
      </c>
      <c r="I68" s="140" t="e">
        <f>VLOOKUP($B68,PRESUPUESTOS!$A$4:$H$1026,5,FALSE())</f>
        <v>#N/A</v>
      </c>
      <c r="J68" s="141"/>
      <c r="K68" s="142"/>
      <c r="L68" s="142"/>
      <c r="M68" s="142"/>
      <c r="N68" s="142"/>
      <c r="O68" s="138"/>
      <c r="P68" s="143"/>
      <c r="Q68" s="138"/>
      <c r="R68" s="138"/>
      <c r="S68" s="144"/>
      <c r="T68" s="144"/>
      <c r="U68" s="138"/>
      <c r="V68" s="138"/>
      <c r="W68" s="138"/>
    </row>
    <row r="69" spans="1:23" ht="17" x14ac:dyDescent="0.2">
      <c r="A69" s="135"/>
      <c r="B69" s="136"/>
      <c r="C69" s="138"/>
      <c r="D69" s="138"/>
      <c r="E69" s="138"/>
      <c r="F69" s="138"/>
      <c r="G69" s="138"/>
      <c r="H69" s="139" t="e">
        <f>VLOOKUP($B69,PRESUPUESTOS!$A$4:$H$1026,3,FALSE())</f>
        <v>#N/A</v>
      </c>
      <c r="I69" s="140" t="e">
        <f>VLOOKUP($B69,PRESUPUESTOS!$A$4:$H$1026,5,FALSE())</f>
        <v>#N/A</v>
      </c>
      <c r="J69" s="141"/>
      <c r="K69" s="142"/>
      <c r="L69" s="142"/>
      <c r="M69" s="142"/>
      <c r="N69" s="142"/>
      <c r="O69" s="138"/>
      <c r="P69" s="143"/>
      <c r="Q69" s="138"/>
      <c r="R69" s="138"/>
      <c r="S69" s="144"/>
      <c r="T69" s="144"/>
      <c r="U69" s="138"/>
      <c r="V69" s="138"/>
      <c r="W69" s="138"/>
    </row>
    <row r="70" spans="1:23" ht="17" x14ac:dyDescent="0.2">
      <c r="A70" s="135"/>
      <c r="B70" s="136"/>
      <c r="C70" s="138"/>
      <c r="D70" s="138"/>
      <c r="E70" s="138"/>
      <c r="F70" s="138"/>
      <c r="G70" s="138"/>
      <c r="H70" s="139" t="e">
        <f>VLOOKUP($B70,PRESUPUESTOS!$A$4:$H$1026,3,FALSE())</f>
        <v>#N/A</v>
      </c>
      <c r="I70" s="140" t="e">
        <f>VLOOKUP($B70,PRESUPUESTOS!$A$4:$H$1026,5,FALSE())</f>
        <v>#N/A</v>
      </c>
      <c r="J70" s="141"/>
      <c r="K70" s="142"/>
      <c r="L70" s="142"/>
      <c r="M70" s="142"/>
      <c r="N70" s="142"/>
      <c r="O70" s="138"/>
      <c r="P70" s="143"/>
      <c r="Q70" s="138"/>
      <c r="R70" s="138"/>
      <c r="S70" s="144"/>
      <c r="T70" s="144"/>
      <c r="U70" s="138"/>
      <c r="V70" s="138"/>
      <c r="W70" s="138"/>
    </row>
    <row r="71" spans="1:23" ht="13" x14ac:dyDescent="0.15">
      <c r="U71" s="59"/>
      <c r="V71" s="59"/>
      <c r="W71" s="59"/>
    </row>
    <row r="72" spans="1:23" ht="13" x14ac:dyDescent="0.15">
      <c r="U72" s="59"/>
      <c r="V72" s="59"/>
      <c r="W72" s="59"/>
    </row>
    <row r="73" spans="1:23" ht="13" x14ac:dyDescent="0.15">
      <c r="U73" s="59"/>
      <c r="V73" s="59"/>
      <c r="W73" s="59"/>
    </row>
    <row r="74" spans="1:23" ht="13" x14ac:dyDescent="0.15">
      <c r="U74" s="59"/>
      <c r="V74" s="59"/>
      <c r="W74" s="59"/>
    </row>
    <row r="75" spans="1:23" ht="13" x14ac:dyDescent="0.15">
      <c r="U75" s="59"/>
      <c r="V75" s="59"/>
      <c r="W75" s="59"/>
    </row>
    <row r="76" spans="1:23" ht="13" x14ac:dyDescent="0.15">
      <c r="U76" s="59"/>
      <c r="V76" s="59"/>
      <c r="W76" s="59"/>
    </row>
    <row r="77" spans="1:23" ht="13" x14ac:dyDescent="0.15">
      <c r="U77" s="59"/>
      <c r="V77" s="59"/>
      <c r="W77" s="59"/>
    </row>
    <row r="78" spans="1:23" ht="13" x14ac:dyDescent="0.15">
      <c r="U78" s="59"/>
      <c r="V78" s="59"/>
      <c r="W78" s="59"/>
    </row>
    <row r="79" spans="1:23" ht="13" x14ac:dyDescent="0.15">
      <c r="U79" s="59"/>
      <c r="V79" s="59"/>
      <c r="W79" s="59"/>
    </row>
    <row r="80" spans="1:23" ht="13" x14ac:dyDescent="0.15">
      <c r="U80" s="59"/>
      <c r="V80" s="59"/>
      <c r="W80" s="59"/>
    </row>
    <row r="81" spans="21:23" ht="13" x14ac:dyDescent="0.15">
      <c r="U81" s="59"/>
      <c r="V81" s="59"/>
      <c r="W81" s="59"/>
    </row>
    <row r="82" spans="21:23" ht="13" x14ac:dyDescent="0.15">
      <c r="U82" s="59"/>
      <c r="V82" s="59"/>
      <c r="W82" s="59"/>
    </row>
    <row r="83" spans="21:23" ht="13" x14ac:dyDescent="0.15">
      <c r="U83" s="59"/>
      <c r="V83" s="59"/>
      <c r="W83" s="59"/>
    </row>
    <row r="84" spans="21:23" ht="13" x14ac:dyDescent="0.15">
      <c r="U84" s="59"/>
      <c r="V84" s="59"/>
      <c r="W84" s="59"/>
    </row>
    <row r="85" spans="21:23" ht="13" x14ac:dyDescent="0.15">
      <c r="U85" s="59"/>
      <c r="V85" s="59"/>
      <c r="W85" s="59"/>
    </row>
    <row r="86" spans="21:23" ht="13" x14ac:dyDescent="0.15">
      <c r="U86" s="59"/>
      <c r="V86" s="59"/>
      <c r="W86" s="59"/>
    </row>
    <row r="87" spans="21:23" ht="13" x14ac:dyDescent="0.15">
      <c r="U87" s="59"/>
      <c r="V87" s="59"/>
      <c r="W87" s="59"/>
    </row>
    <row r="88" spans="21:23" ht="13" x14ac:dyDescent="0.15">
      <c r="U88" s="59"/>
      <c r="V88" s="59"/>
      <c r="W88" s="59"/>
    </row>
    <row r="89" spans="21:23" ht="13" x14ac:dyDescent="0.15">
      <c r="U89" s="59"/>
      <c r="V89" s="59"/>
      <c r="W89" s="59"/>
    </row>
    <row r="90" spans="21:23" ht="13" x14ac:dyDescent="0.15">
      <c r="U90" s="59"/>
      <c r="V90" s="59"/>
      <c r="W90" s="59"/>
    </row>
    <row r="91" spans="21:23" ht="13" x14ac:dyDescent="0.15">
      <c r="U91" s="59"/>
      <c r="V91" s="59"/>
      <c r="W91" s="59"/>
    </row>
    <row r="92" spans="21:23" ht="13" x14ac:dyDescent="0.15">
      <c r="U92" s="59"/>
      <c r="V92" s="59"/>
      <c r="W92" s="59"/>
    </row>
    <row r="93" spans="21:23" ht="13" x14ac:dyDescent="0.15">
      <c r="U93" s="59"/>
      <c r="V93" s="59"/>
      <c r="W93" s="59"/>
    </row>
    <row r="94" spans="21:23" ht="13" x14ac:dyDescent="0.15">
      <c r="U94" s="59"/>
      <c r="V94" s="59"/>
      <c r="W94" s="59"/>
    </row>
    <row r="95" spans="21:23" ht="13" x14ac:dyDescent="0.15">
      <c r="U95" s="59"/>
      <c r="V95" s="59"/>
      <c r="W95" s="59"/>
    </row>
    <row r="96" spans="21:23" ht="13" x14ac:dyDescent="0.15">
      <c r="U96" s="59"/>
      <c r="V96" s="59"/>
      <c r="W96" s="59"/>
    </row>
    <row r="97" spans="21:23" ht="13" x14ac:dyDescent="0.15">
      <c r="U97" s="59"/>
      <c r="V97" s="59"/>
      <c r="W97" s="59"/>
    </row>
    <row r="98" spans="21:23" ht="13" x14ac:dyDescent="0.15">
      <c r="U98" s="59"/>
      <c r="V98" s="59"/>
      <c r="W98" s="59"/>
    </row>
    <row r="99" spans="21:23" ht="13" x14ac:dyDescent="0.15">
      <c r="U99" s="59"/>
      <c r="V99" s="59"/>
      <c r="W99" s="59"/>
    </row>
    <row r="100" spans="21:23" ht="13" x14ac:dyDescent="0.15">
      <c r="U100" s="59"/>
      <c r="V100" s="59"/>
      <c r="W100" s="59"/>
    </row>
    <row r="101" spans="21:23" ht="13" x14ac:dyDescent="0.15">
      <c r="U101" s="59"/>
      <c r="V101" s="59"/>
      <c r="W101" s="59"/>
    </row>
    <row r="102" spans="21:23" ht="13" x14ac:dyDescent="0.15">
      <c r="U102" s="59"/>
      <c r="V102" s="59"/>
      <c r="W102" s="59"/>
    </row>
    <row r="103" spans="21:23" ht="13" x14ac:dyDescent="0.15">
      <c r="U103" s="59"/>
      <c r="V103" s="59"/>
      <c r="W103" s="59"/>
    </row>
    <row r="104" spans="21:23" ht="13" x14ac:dyDescent="0.15">
      <c r="U104" s="59"/>
      <c r="V104" s="59"/>
      <c r="W104" s="59"/>
    </row>
    <row r="105" spans="21:23" ht="13" x14ac:dyDescent="0.15">
      <c r="U105" s="59"/>
      <c r="V105" s="59"/>
      <c r="W105" s="59"/>
    </row>
    <row r="106" spans="21:23" ht="13" x14ac:dyDescent="0.15">
      <c r="U106" s="59"/>
      <c r="V106" s="59"/>
      <c r="W106" s="59"/>
    </row>
    <row r="107" spans="21:23" ht="13" x14ac:dyDescent="0.15">
      <c r="U107" s="59"/>
      <c r="V107" s="59"/>
      <c r="W107" s="59"/>
    </row>
    <row r="108" spans="21:23" ht="13" x14ac:dyDescent="0.15">
      <c r="U108" s="59"/>
      <c r="V108" s="59"/>
      <c r="W108" s="59"/>
    </row>
    <row r="109" spans="21:23" ht="13" x14ac:dyDescent="0.15">
      <c r="U109" s="59"/>
      <c r="V109" s="59"/>
      <c r="W109" s="59"/>
    </row>
    <row r="110" spans="21:23" ht="13" x14ac:dyDescent="0.15">
      <c r="U110" s="59"/>
      <c r="V110" s="59"/>
      <c r="W110" s="59"/>
    </row>
    <row r="111" spans="21:23" ht="13" x14ac:dyDescent="0.15">
      <c r="U111" s="59"/>
      <c r="V111" s="59"/>
      <c r="W111" s="59"/>
    </row>
    <row r="112" spans="21:23" ht="13" x14ac:dyDescent="0.15">
      <c r="U112" s="59"/>
      <c r="V112" s="59"/>
      <c r="W112" s="59"/>
    </row>
    <row r="113" spans="21:23" ht="13" x14ac:dyDescent="0.15">
      <c r="U113" s="59"/>
      <c r="V113" s="59"/>
      <c r="W113" s="59"/>
    </row>
    <row r="114" spans="21:23" ht="13" x14ac:dyDescent="0.15">
      <c r="U114" s="59"/>
      <c r="V114" s="59"/>
      <c r="W114" s="59"/>
    </row>
    <row r="115" spans="21:23" ht="13" x14ac:dyDescent="0.15">
      <c r="U115" s="59"/>
      <c r="V115" s="59"/>
      <c r="W115" s="59"/>
    </row>
    <row r="116" spans="21:23" ht="13" x14ac:dyDescent="0.15">
      <c r="U116" s="59"/>
      <c r="V116" s="59"/>
      <c r="W116" s="59"/>
    </row>
    <row r="117" spans="21:23" ht="13" x14ac:dyDescent="0.15">
      <c r="U117" s="59"/>
      <c r="V117" s="59"/>
      <c r="W117" s="59"/>
    </row>
    <row r="118" spans="21:23" ht="13" x14ac:dyDescent="0.15">
      <c r="U118" s="59"/>
      <c r="V118" s="59"/>
      <c r="W118" s="59"/>
    </row>
    <row r="119" spans="21:23" ht="13" x14ac:dyDescent="0.15">
      <c r="U119" s="59"/>
      <c r="V119" s="59"/>
      <c r="W119" s="59"/>
    </row>
    <row r="120" spans="21:23" ht="13" x14ac:dyDescent="0.15">
      <c r="U120" s="59"/>
      <c r="V120" s="59"/>
      <c r="W120" s="59"/>
    </row>
    <row r="121" spans="21:23" ht="13" x14ac:dyDescent="0.15">
      <c r="U121" s="59"/>
      <c r="V121" s="59"/>
      <c r="W121" s="59"/>
    </row>
    <row r="122" spans="21:23" ht="13" x14ac:dyDescent="0.15">
      <c r="U122" s="59"/>
      <c r="V122" s="59"/>
      <c r="W122" s="59"/>
    </row>
    <row r="123" spans="21:23" ht="13" x14ac:dyDescent="0.15">
      <c r="U123" s="59"/>
      <c r="V123" s="59"/>
      <c r="W123" s="59"/>
    </row>
    <row r="124" spans="21:23" ht="13" x14ac:dyDescent="0.15">
      <c r="U124" s="59"/>
      <c r="V124" s="59"/>
      <c r="W124" s="59"/>
    </row>
    <row r="125" spans="21:23" ht="13" x14ac:dyDescent="0.15">
      <c r="U125" s="59"/>
      <c r="V125" s="59"/>
      <c r="W125" s="59"/>
    </row>
    <row r="126" spans="21:23" ht="13" x14ac:dyDescent="0.15">
      <c r="U126" s="59"/>
      <c r="V126" s="59"/>
      <c r="W126" s="59"/>
    </row>
    <row r="127" spans="21:23" ht="13" x14ac:dyDescent="0.15">
      <c r="U127" s="59"/>
      <c r="V127" s="59"/>
      <c r="W127" s="59"/>
    </row>
    <row r="128" spans="21:23" ht="13" x14ac:dyDescent="0.15">
      <c r="U128" s="59"/>
      <c r="V128" s="59"/>
      <c r="W128" s="59"/>
    </row>
    <row r="129" spans="21:23" ht="13" x14ac:dyDescent="0.15">
      <c r="U129" s="59"/>
      <c r="V129" s="59"/>
      <c r="W129" s="59"/>
    </row>
    <row r="130" spans="21:23" ht="13" x14ac:dyDescent="0.15">
      <c r="U130" s="59"/>
      <c r="V130" s="59"/>
      <c r="W130" s="59"/>
    </row>
    <row r="131" spans="21:23" ht="13" x14ac:dyDescent="0.15">
      <c r="U131" s="59"/>
      <c r="V131" s="59"/>
      <c r="W131" s="59"/>
    </row>
    <row r="132" spans="21:23" ht="13" x14ac:dyDescent="0.15">
      <c r="U132" s="59"/>
      <c r="V132" s="59"/>
      <c r="W132" s="59"/>
    </row>
    <row r="133" spans="21:23" ht="13" x14ac:dyDescent="0.15">
      <c r="U133" s="59"/>
      <c r="V133" s="59"/>
      <c r="W133" s="59"/>
    </row>
    <row r="134" spans="21:23" ht="13" x14ac:dyDescent="0.15">
      <c r="U134" s="59"/>
      <c r="V134" s="59"/>
      <c r="W134" s="59"/>
    </row>
    <row r="135" spans="21:23" ht="13" x14ac:dyDescent="0.15">
      <c r="U135" s="59"/>
      <c r="V135" s="59"/>
      <c r="W135" s="59"/>
    </row>
    <row r="136" spans="21:23" ht="13" x14ac:dyDescent="0.15">
      <c r="U136" s="59"/>
      <c r="V136" s="59"/>
      <c r="W136" s="59"/>
    </row>
    <row r="137" spans="21:23" ht="13" x14ac:dyDescent="0.15">
      <c r="U137" s="59"/>
      <c r="V137" s="59"/>
      <c r="W137" s="59"/>
    </row>
    <row r="138" spans="21:23" ht="13" x14ac:dyDescent="0.15">
      <c r="U138" s="59"/>
      <c r="V138" s="59"/>
      <c r="W138" s="59"/>
    </row>
    <row r="139" spans="21:23" ht="13" x14ac:dyDescent="0.15">
      <c r="U139" s="59"/>
      <c r="V139" s="59"/>
      <c r="W139" s="59"/>
    </row>
    <row r="140" spans="21:23" ht="13" x14ac:dyDescent="0.15">
      <c r="U140" s="59"/>
      <c r="V140" s="59"/>
      <c r="W140" s="59"/>
    </row>
    <row r="141" spans="21:23" ht="13" x14ac:dyDescent="0.15">
      <c r="U141" s="59"/>
      <c r="V141" s="59"/>
      <c r="W141" s="59"/>
    </row>
    <row r="142" spans="21:23" ht="13" x14ac:dyDescent="0.15">
      <c r="U142" s="59"/>
      <c r="V142" s="59"/>
      <c r="W142" s="59"/>
    </row>
    <row r="143" spans="21:23" ht="13" x14ac:dyDescent="0.15">
      <c r="U143" s="59"/>
      <c r="V143" s="59"/>
      <c r="W143" s="59"/>
    </row>
    <row r="144" spans="21:23" ht="13" x14ac:dyDescent="0.15">
      <c r="U144" s="59"/>
      <c r="V144" s="59"/>
      <c r="W144" s="59"/>
    </row>
    <row r="145" spans="21:23" ht="13" x14ac:dyDescent="0.15">
      <c r="U145" s="59"/>
      <c r="V145" s="59"/>
      <c r="W145" s="59"/>
    </row>
    <row r="146" spans="21:23" ht="13" x14ac:dyDescent="0.15">
      <c r="U146" s="59"/>
      <c r="V146" s="59"/>
      <c r="W146" s="59"/>
    </row>
    <row r="147" spans="21:23" ht="13" x14ac:dyDescent="0.15">
      <c r="U147" s="59"/>
      <c r="V147" s="59"/>
      <c r="W147" s="59"/>
    </row>
    <row r="148" spans="21:23" ht="13" x14ac:dyDescent="0.15">
      <c r="U148" s="59"/>
      <c r="V148" s="59"/>
      <c r="W148" s="59"/>
    </row>
    <row r="149" spans="21:23" ht="13" x14ac:dyDescent="0.15">
      <c r="U149" s="59"/>
      <c r="V149" s="59"/>
      <c r="W149" s="59"/>
    </row>
    <row r="150" spans="21:23" ht="13" x14ac:dyDescent="0.15">
      <c r="U150" s="59"/>
      <c r="V150" s="59"/>
      <c r="W150" s="59"/>
    </row>
    <row r="151" spans="21:23" ht="13" x14ac:dyDescent="0.15">
      <c r="U151" s="59"/>
      <c r="V151" s="59"/>
      <c r="W151" s="59"/>
    </row>
    <row r="152" spans="21:23" ht="13" x14ac:dyDescent="0.15">
      <c r="U152" s="59"/>
      <c r="V152" s="59"/>
      <c r="W152" s="59"/>
    </row>
    <row r="153" spans="21:23" ht="13" x14ac:dyDescent="0.15">
      <c r="U153" s="59"/>
      <c r="V153" s="59"/>
      <c r="W153" s="59"/>
    </row>
    <row r="154" spans="21:23" ht="13" x14ac:dyDescent="0.15">
      <c r="U154" s="59"/>
      <c r="V154" s="59"/>
      <c r="W154" s="59"/>
    </row>
    <row r="155" spans="21:23" ht="13" x14ac:dyDescent="0.15">
      <c r="U155" s="59"/>
      <c r="V155" s="59"/>
      <c r="W155" s="59"/>
    </row>
    <row r="156" spans="21:23" ht="13" x14ac:dyDescent="0.15">
      <c r="U156" s="59"/>
      <c r="V156" s="59"/>
      <c r="W156" s="59"/>
    </row>
    <row r="157" spans="21:23" ht="13" x14ac:dyDescent="0.15">
      <c r="U157" s="59"/>
      <c r="V157" s="59"/>
      <c r="W157" s="59"/>
    </row>
    <row r="158" spans="21:23" ht="13" x14ac:dyDescent="0.15">
      <c r="U158" s="59"/>
      <c r="V158" s="59"/>
      <c r="W158" s="59"/>
    </row>
    <row r="159" spans="21:23" ht="13" x14ac:dyDescent="0.15">
      <c r="U159" s="59"/>
      <c r="V159" s="59"/>
      <c r="W159" s="59"/>
    </row>
    <row r="160" spans="21:23" ht="13" x14ac:dyDescent="0.15">
      <c r="U160" s="59"/>
      <c r="V160" s="59"/>
      <c r="W160" s="59"/>
    </row>
    <row r="161" spans="21:23" ht="13" x14ac:dyDescent="0.15">
      <c r="U161" s="59"/>
      <c r="V161" s="59"/>
      <c r="W161" s="59"/>
    </row>
    <row r="162" spans="21:23" ht="13" x14ac:dyDescent="0.15">
      <c r="U162" s="59"/>
      <c r="V162" s="59"/>
      <c r="W162" s="59"/>
    </row>
    <row r="163" spans="21:23" ht="13" x14ac:dyDescent="0.15">
      <c r="U163" s="59"/>
      <c r="V163" s="59"/>
      <c r="W163" s="59"/>
    </row>
    <row r="164" spans="21:23" ht="13" x14ac:dyDescent="0.15">
      <c r="U164" s="59"/>
      <c r="V164" s="59"/>
      <c r="W164" s="59"/>
    </row>
    <row r="165" spans="21:23" ht="13" x14ac:dyDescent="0.15">
      <c r="U165" s="59"/>
      <c r="V165" s="59"/>
      <c r="W165" s="59"/>
    </row>
    <row r="166" spans="21:23" ht="13" x14ac:dyDescent="0.15">
      <c r="U166" s="59"/>
      <c r="V166" s="59"/>
      <c r="W166" s="59"/>
    </row>
    <row r="167" spans="21:23" ht="13" x14ac:dyDescent="0.15">
      <c r="U167" s="59"/>
      <c r="V167" s="59"/>
      <c r="W167" s="59"/>
    </row>
    <row r="168" spans="21:23" ht="13" x14ac:dyDescent="0.15">
      <c r="U168" s="59"/>
      <c r="V168" s="59"/>
      <c r="W168" s="59"/>
    </row>
    <row r="169" spans="21:23" ht="13" x14ac:dyDescent="0.15">
      <c r="U169" s="59"/>
      <c r="V169" s="59"/>
      <c r="W169" s="59"/>
    </row>
    <row r="170" spans="21:23" ht="13" x14ac:dyDescent="0.15">
      <c r="U170" s="59"/>
      <c r="V170" s="59"/>
      <c r="W170" s="59"/>
    </row>
    <row r="171" spans="21:23" ht="13" x14ac:dyDescent="0.15">
      <c r="U171" s="59"/>
      <c r="V171" s="59"/>
      <c r="W171" s="59"/>
    </row>
    <row r="172" spans="21:23" ht="13" x14ac:dyDescent="0.15">
      <c r="U172" s="59"/>
      <c r="V172" s="59"/>
      <c r="W172" s="59"/>
    </row>
    <row r="173" spans="21:23" ht="13" x14ac:dyDescent="0.15">
      <c r="U173" s="59"/>
      <c r="V173" s="59"/>
      <c r="W173" s="59"/>
    </row>
    <row r="174" spans="21:23" ht="13" x14ac:dyDescent="0.15">
      <c r="U174" s="59"/>
      <c r="V174" s="59"/>
      <c r="W174" s="59"/>
    </row>
    <row r="175" spans="21:23" ht="13" x14ac:dyDescent="0.15">
      <c r="U175" s="59"/>
      <c r="V175" s="59"/>
      <c r="W175" s="59"/>
    </row>
    <row r="176" spans="21:23" ht="13" x14ac:dyDescent="0.15">
      <c r="U176" s="59"/>
      <c r="V176" s="59"/>
      <c r="W176" s="59"/>
    </row>
    <row r="177" spans="21:23" ht="13" x14ac:dyDescent="0.15">
      <c r="U177" s="59"/>
      <c r="V177" s="59"/>
      <c r="W177" s="59"/>
    </row>
    <row r="178" spans="21:23" ht="13" x14ac:dyDescent="0.15">
      <c r="U178" s="59"/>
      <c r="V178" s="59"/>
      <c r="W178" s="59"/>
    </row>
    <row r="179" spans="21:23" ht="13" x14ac:dyDescent="0.15">
      <c r="U179" s="59"/>
      <c r="V179" s="59"/>
      <c r="W179" s="59"/>
    </row>
    <row r="180" spans="21:23" ht="13" x14ac:dyDescent="0.15">
      <c r="U180" s="59"/>
      <c r="V180" s="59"/>
      <c r="W180" s="59"/>
    </row>
    <row r="181" spans="21:23" ht="13" x14ac:dyDescent="0.15">
      <c r="U181" s="59"/>
      <c r="V181" s="59"/>
      <c r="W181" s="59"/>
    </row>
    <row r="182" spans="21:23" ht="13" x14ac:dyDescent="0.15">
      <c r="U182" s="59"/>
      <c r="V182" s="59"/>
      <c r="W182" s="59"/>
    </row>
    <row r="183" spans="21:23" ht="13" x14ac:dyDescent="0.15">
      <c r="U183" s="59"/>
      <c r="V183" s="59"/>
      <c r="W183" s="59"/>
    </row>
    <row r="184" spans="21:23" ht="13" x14ac:dyDescent="0.15">
      <c r="U184" s="59"/>
      <c r="V184" s="59"/>
      <c r="W184" s="59"/>
    </row>
    <row r="185" spans="21:23" ht="13" x14ac:dyDescent="0.15">
      <c r="U185" s="59"/>
      <c r="V185" s="59"/>
      <c r="W185" s="59"/>
    </row>
    <row r="186" spans="21:23" ht="13" x14ac:dyDescent="0.15">
      <c r="U186" s="59"/>
      <c r="V186" s="59"/>
      <c r="W186" s="59"/>
    </row>
    <row r="187" spans="21:23" ht="13" x14ac:dyDescent="0.15">
      <c r="U187" s="59"/>
      <c r="V187" s="59"/>
      <c r="W187" s="59"/>
    </row>
    <row r="188" spans="21:23" ht="13" x14ac:dyDescent="0.15">
      <c r="U188" s="59"/>
      <c r="V188" s="59"/>
      <c r="W188" s="59"/>
    </row>
    <row r="189" spans="21:23" ht="13" x14ac:dyDescent="0.15">
      <c r="U189" s="59"/>
      <c r="V189" s="59"/>
      <c r="W189" s="59"/>
    </row>
    <row r="190" spans="21:23" ht="13" x14ac:dyDescent="0.15">
      <c r="U190" s="59"/>
      <c r="V190" s="59"/>
      <c r="W190" s="59"/>
    </row>
    <row r="191" spans="21:23" ht="13" x14ac:dyDescent="0.15">
      <c r="U191" s="59"/>
      <c r="V191" s="59"/>
      <c r="W191" s="59"/>
    </row>
    <row r="192" spans="21:23" ht="13" x14ac:dyDescent="0.15">
      <c r="U192" s="59"/>
      <c r="V192" s="59"/>
      <c r="W192" s="59"/>
    </row>
    <row r="193" spans="21:23" ht="13" x14ac:dyDescent="0.15">
      <c r="U193" s="59"/>
      <c r="V193" s="59"/>
      <c r="W193" s="59"/>
    </row>
    <row r="194" spans="21:23" ht="13" x14ac:dyDescent="0.15">
      <c r="U194" s="59"/>
      <c r="V194" s="59"/>
      <c r="W194" s="59"/>
    </row>
    <row r="195" spans="21:23" ht="13" x14ac:dyDescent="0.15">
      <c r="U195" s="59"/>
      <c r="V195" s="59"/>
      <c r="W195" s="59"/>
    </row>
    <row r="196" spans="21:23" ht="13" x14ac:dyDescent="0.15">
      <c r="U196" s="59"/>
      <c r="V196" s="59"/>
      <c r="W196" s="59"/>
    </row>
    <row r="197" spans="21:23" ht="13" x14ac:dyDescent="0.15">
      <c r="U197" s="59"/>
      <c r="V197" s="59"/>
      <c r="W197" s="59"/>
    </row>
    <row r="198" spans="21:23" ht="13" x14ac:dyDescent="0.15">
      <c r="U198" s="59"/>
      <c r="V198" s="59"/>
      <c r="W198" s="59"/>
    </row>
    <row r="199" spans="21:23" ht="13" x14ac:dyDescent="0.15">
      <c r="U199" s="59"/>
      <c r="V199" s="59"/>
      <c r="W199" s="59"/>
    </row>
    <row r="200" spans="21:23" ht="13" x14ac:dyDescent="0.15">
      <c r="U200" s="59"/>
      <c r="V200" s="59"/>
      <c r="W200" s="59"/>
    </row>
    <row r="201" spans="21:23" ht="13" x14ac:dyDescent="0.15">
      <c r="U201" s="59"/>
      <c r="V201" s="59"/>
      <c r="W201" s="59"/>
    </row>
    <row r="202" spans="21:23" ht="13" x14ac:dyDescent="0.15">
      <c r="U202" s="59"/>
      <c r="V202" s="59"/>
      <c r="W202" s="59"/>
    </row>
    <row r="203" spans="21:23" ht="13" x14ac:dyDescent="0.15">
      <c r="U203" s="59"/>
      <c r="V203" s="59"/>
      <c r="W203" s="59"/>
    </row>
    <row r="204" spans="21:23" ht="13" x14ac:dyDescent="0.15">
      <c r="U204" s="59"/>
      <c r="V204" s="59"/>
      <c r="W204" s="59"/>
    </row>
    <row r="205" spans="21:23" ht="13" x14ac:dyDescent="0.15">
      <c r="U205" s="59"/>
      <c r="V205" s="59"/>
      <c r="W205" s="59"/>
    </row>
    <row r="206" spans="21:23" ht="13" x14ac:dyDescent="0.15">
      <c r="U206" s="59"/>
      <c r="V206" s="59"/>
      <c r="W206" s="59"/>
    </row>
    <row r="207" spans="21:23" ht="13" x14ac:dyDescent="0.15">
      <c r="U207" s="59"/>
      <c r="V207" s="59"/>
      <c r="W207" s="59"/>
    </row>
    <row r="208" spans="21:23" ht="13" x14ac:dyDescent="0.15">
      <c r="U208" s="59"/>
      <c r="V208" s="59"/>
      <c r="W208" s="59"/>
    </row>
    <row r="209" spans="21:23" ht="13" x14ac:dyDescent="0.15">
      <c r="U209" s="59"/>
      <c r="V209" s="59"/>
      <c r="W209" s="59"/>
    </row>
    <row r="210" spans="21:23" ht="13" x14ac:dyDescent="0.15">
      <c r="U210" s="59"/>
      <c r="V210" s="59"/>
      <c r="W210" s="59"/>
    </row>
    <row r="211" spans="21:23" ht="13" x14ac:dyDescent="0.15">
      <c r="U211" s="59"/>
      <c r="V211" s="59"/>
      <c r="W211" s="59"/>
    </row>
    <row r="212" spans="21:23" ht="13" x14ac:dyDescent="0.15">
      <c r="U212" s="59"/>
      <c r="V212" s="59"/>
      <c r="W212" s="59"/>
    </row>
    <row r="213" spans="21:23" ht="13" x14ac:dyDescent="0.15">
      <c r="U213" s="59"/>
      <c r="V213" s="59"/>
      <c r="W213" s="59"/>
    </row>
    <row r="214" spans="21:23" ht="13" x14ac:dyDescent="0.15">
      <c r="U214" s="59"/>
      <c r="V214" s="59"/>
      <c r="W214" s="59"/>
    </row>
    <row r="215" spans="21:23" ht="13" x14ac:dyDescent="0.15">
      <c r="U215" s="59"/>
      <c r="V215" s="59"/>
      <c r="W215" s="59"/>
    </row>
    <row r="216" spans="21:23" ht="13" x14ac:dyDescent="0.15">
      <c r="U216" s="59"/>
      <c r="V216" s="59"/>
      <c r="W216" s="59"/>
    </row>
    <row r="217" spans="21:23" ht="13" x14ac:dyDescent="0.15">
      <c r="U217" s="59"/>
      <c r="V217" s="59"/>
      <c r="W217" s="59"/>
    </row>
    <row r="218" spans="21:23" ht="13" x14ac:dyDescent="0.15">
      <c r="U218" s="59"/>
      <c r="V218" s="59"/>
      <c r="W218" s="59"/>
    </row>
    <row r="219" spans="21:23" ht="13" x14ac:dyDescent="0.15">
      <c r="U219" s="59"/>
      <c r="V219" s="59"/>
      <c r="W219" s="59"/>
    </row>
    <row r="220" spans="21:23" ht="13" x14ac:dyDescent="0.15">
      <c r="U220" s="59"/>
      <c r="V220" s="59"/>
      <c r="W220" s="59"/>
    </row>
    <row r="221" spans="21:23" ht="13" x14ac:dyDescent="0.15">
      <c r="U221" s="59"/>
      <c r="V221" s="59"/>
      <c r="W221" s="59"/>
    </row>
    <row r="222" spans="21:23" ht="13" x14ac:dyDescent="0.15">
      <c r="U222" s="59"/>
      <c r="V222" s="59"/>
      <c r="W222" s="59"/>
    </row>
    <row r="223" spans="21:23" ht="13" x14ac:dyDescent="0.15">
      <c r="U223" s="59"/>
      <c r="V223" s="59"/>
      <c r="W223" s="59"/>
    </row>
    <row r="224" spans="21:23" ht="13" x14ac:dyDescent="0.15">
      <c r="U224" s="59"/>
      <c r="V224" s="59"/>
      <c r="W224" s="59"/>
    </row>
    <row r="225" spans="21:23" ht="13" x14ac:dyDescent="0.15">
      <c r="U225" s="59"/>
      <c r="V225" s="59"/>
      <c r="W225" s="59"/>
    </row>
    <row r="226" spans="21:23" ht="13" x14ac:dyDescent="0.15">
      <c r="U226" s="59"/>
      <c r="V226" s="59"/>
      <c r="W226" s="59"/>
    </row>
    <row r="227" spans="21:23" ht="13" x14ac:dyDescent="0.15">
      <c r="U227" s="59"/>
      <c r="V227" s="59"/>
      <c r="W227" s="59"/>
    </row>
    <row r="228" spans="21:23" ht="13" x14ac:dyDescent="0.15">
      <c r="U228" s="59"/>
      <c r="V228" s="59"/>
      <c r="W228" s="59"/>
    </row>
    <row r="229" spans="21:23" ht="13" x14ac:dyDescent="0.15">
      <c r="U229" s="59"/>
      <c r="V229" s="59"/>
      <c r="W229" s="59"/>
    </row>
    <row r="230" spans="21:23" ht="13" x14ac:dyDescent="0.15">
      <c r="U230" s="59"/>
      <c r="V230" s="59"/>
      <c r="W230" s="59"/>
    </row>
    <row r="231" spans="21:23" ht="13" x14ac:dyDescent="0.15">
      <c r="U231" s="59"/>
      <c r="V231" s="59"/>
      <c r="W231" s="59"/>
    </row>
    <row r="232" spans="21:23" ht="13" x14ac:dyDescent="0.15">
      <c r="U232" s="59"/>
      <c r="V232" s="59"/>
      <c r="W232" s="59"/>
    </row>
    <row r="233" spans="21:23" ht="13" x14ac:dyDescent="0.15">
      <c r="U233" s="59"/>
      <c r="V233" s="59"/>
      <c r="W233" s="59"/>
    </row>
    <row r="234" spans="21:23" ht="13" x14ac:dyDescent="0.15">
      <c r="U234" s="59"/>
      <c r="V234" s="59"/>
      <c r="W234" s="59"/>
    </row>
    <row r="235" spans="21:23" ht="13" x14ac:dyDescent="0.15">
      <c r="U235" s="59"/>
      <c r="V235" s="59"/>
      <c r="W235" s="59"/>
    </row>
    <row r="236" spans="21:23" ht="13" x14ac:dyDescent="0.15">
      <c r="U236" s="59"/>
      <c r="V236" s="59"/>
      <c r="W236" s="59"/>
    </row>
    <row r="237" spans="21:23" ht="13" x14ac:dyDescent="0.15">
      <c r="U237" s="59"/>
      <c r="V237" s="59"/>
      <c r="W237" s="59"/>
    </row>
    <row r="238" spans="21:23" ht="13" x14ac:dyDescent="0.15">
      <c r="U238" s="59"/>
      <c r="V238" s="59"/>
      <c r="W238" s="59"/>
    </row>
    <row r="239" spans="21:23" ht="13" x14ac:dyDescent="0.15">
      <c r="U239" s="59"/>
      <c r="V239" s="59"/>
      <c r="W239" s="59"/>
    </row>
    <row r="240" spans="21:23" ht="13" x14ac:dyDescent="0.15">
      <c r="U240" s="59"/>
      <c r="V240" s="59"/>
      <c r="W240" s="59"/>
    </row>
    <row r="241" spans="21:23" ht="13" x14ac:dyDescent="0.15">
      <c r="U241" s="59"/>
      <c r="V241" s="59"/>
      <c r="W241" s="59"/>
    </row>
    <row r="242" spans="21:23" ht="13" x14ac:dyDescent="0.15">
      <c r="U242" s="59"/>
      <c r="V242" s="59"/>
      <c r="W242" s="59"/>
    </row>
    <row r="243" spans="21:23" ht="13" x14ac:dyDescent="0.15">
      <c r="U243" s="59"/>
      <c r="V243" s="59"/>
      <c r="W243" s="59"/>
    </row>
    <row r="244" spans="21:23" ht="13" x14ac:dyDescent="0.15">
      <c r="U244" s="59"/>
      <c r="V244" s="59"/>
      <c r="W244" s="59"/>
    </row>
    <row r="245" spans="21:23" ht="13" x14ac:dyDescent="0.15">
      <c r="U245" s="59"/>
      <c r="V245" s="59"/>
      <c r="W245" s="59"/>
    </row>
    <row r="246" spans="21:23" ht="13" x14ac:dyDescent="0.15">
      <c r="U246" s="59"/>
      <c r="V246" s="59"/>
      <c r="W246" s="59"/>
    </row>
    <row r="247" spans="21:23" ht="13" x14ac:dyDescent="0.15">
      <c r="U247" s="59"/>
      <c r="V247" s="59"/>
      <c r="W247" s="59"/>
    </row>
    <row r="248" spans="21:23" ht="13" x14ac:dyDescent="0.15">
      <c r="U248" s="59"/>
      <c r="V248" s="59"/>
      <c r="W248" s="59"/>
    </row>
    <row r="249" spans="21:23" ht="13" x14ac:dyDescent="0.15">
      <c r="U249" s="59"/>
      <c r="V249" s="59"/>
      <c r="W249" s="59"/>
    </row>
    <row r="250" spans="21:23" ht="13" x14ac:dyDescent="0.15">
      <c r="U250" s="59"/>
      <c r="V250" s="59"/>
      <c r="W250" s="59"/>
    </row>
    <row r="251" spans="21:23" ht="13" x14ac:dyDescent="0.15">
      <c r="U251" s="59"/>
      <c r="V251" s="59"/>
      <c r="W251" s="59"/>
    </row>
    <row r="252" spans="21:23" ht="13" x14ac:dyDescent="0.15">
      <c r="U252" s="59"/>
      <c r="V252" s="59"/>
      <c r="W252" s="59"/>
    </row>
    <row r="253" spans="21:23" ht="13" x14ac:dyDescent="0.15">
      <c r="U253" s="59"/>
      <c r="V253" s="59"/>
      <c r="W253" s="59"/>
    </row>
    <row r="254" spans="21:23" ht="13" x14ac:dyDescent="0.15">
      <c r="U254" s="59"/>
      <c r="V254" s="59"/>
      <c r="W254" s="59"/>
    </row>
    <row r="255" spans="21:23" ht="13" x14ac:dyDescent="0.15">
      <c r="U255" s="59"/>
      <c r="V255" s="59"/>
      <c r="W255" s="59"/>
    </row>
    <row r="256" spans="21:23" ht="13" x14ac:dyDescent="0.15">
      <c r="U256" s="59"/>
      <c r="V256" s="59"/>
      <c r="W256" s="59"/>
    </row>
    <row r="257" spans="21:23" ht="13" x14ac:dyDescent="0.15">
      <c r="U257" s="59"/>
      <c r="V257" s="59"/>
      <c r="W257" s="59"/>
    </row>
    <row r="258" spans="21:23" ht="13" x14ac:dyDescent="0.15">
      <c r="U258" s="59"/>
      <c r="V258" s="59"/>
      <c r="W258" s="59"/>
    </row>
    <row r="259" spans="21:23" ht="13" x14ac:dyDescent="0.15">
      <c r="U259" s="59"/>
      <c r="V259" s="59"/>
      <c r="W259" s="59"/>
    </row>
    <row r="260" spans="21:23" ht="13" x14ac:dyDescent="0.15">
      <c r="U260" s="59"/>
      <c r="V260" s="59"/>
      <c r="W260" s="59"/>
    </row>
    <row r="261" spans="21:23" ht="13" x14ac:dyDescent="0.15">
      <c r="U261" s="59"/>
      <c r="V261" s="59"/>
      <c r="W261" s="59"/>
    </row>
    <row r="262" spans="21:23" ht="13" x14ac:dyDescent="0.15">
      <c r="U262" s="59"/>
      <c r="V262" s="59"/>
      <c r="W262" s="59"/>
    </row>
    <row r="263" spans="21:23" ht="13" x14ac:dyDescent="0.15">
      <c r="U263" s="59"/>
      <c r="V263" s="59"/>
      <c r="W263" s="59"/>
    </row>
    <row r="264" spans="21:23" ht="13" x14ac:dyDescent="0.15">
      <c r="U264" s="59"/>
      <c r="V264" s="59"/>
      <c r="W264" s="59"/>
    </row>
    <row r="265" spans="21:23" ht="13" x14ac:dyDescent="0.15">
      <c r="U265" s="59"/>
      <c r="V265" s="59"/>
      <c r="W265" s="59"/>
    </row>
    <row r="266" spans="21:23" ht="13" x14ac:dyDescent="0.15">
      <c r="U266" s="59"/>
      <c r="V266" s="59"/>
      <c r="W266" s="59"/>
    </row>
    <row r="267" spans="21:23" ht="13" x14ac:dyDescent="0.15">
      <c r="U267" s="59"/>
      <c r="V267" s="59"/>
      <c r="W267" s="59"/>
    </row>
    <row r="268" spans="21:23" ht="13" x14ac:dyDescent="0.15">
      <c r="U268" s="59"/>
      <c r="V268" s="59"/>
      <c r="W268" s="59"/>
    </row>
    <row r="269" spans="21:23" ht="13" x14ac:dyDescent="0.15">
      <c r="U269" s="59"/>
      <c r="V269" s="59"/>
      <c r="W269" s="59"/>
    </row>
    <row r="270" spans="21:23" ht="13" x14ac:dyDescent="0.15">
      <c r="U270" s="59"/>
      <c r="V270" s="59"/>
      <c r="W270" s="59"/>
    </row>
    <row r="271" spans="21:23" ht="13" x14ac:dyDescent="0.15">
      <c r="U271" s="59"/>
      <c r="V271" s="59"/>
      <c r="W271" s="59"/>
    </row>
    <row r="272" spans="21:23" ht="13" x14ac:dyDescent="0.15">
      <c r="U272" s="59"/>
      <c r="V272" s="59"/>
      <c r="W272" s="59"/>
    </row>
    <row r="273" spans="21:23" ht="13" x14ac:dyDescent="0.15">
      <c r="U273" s="59"/>
      <c r="V273" s="59"/>
      <c r="W273" s="59"/>
    </row>
    <row r="274" spans="21:23" ht="13" x14ac:dyDescent="0.15">
      <c r="U274" s="59"/>
      <c r="V274" s="59"/>
      <c r="W274" s="59"/>
    </row>
    <row r="275" spans="21:23" ht="13" x14ac:dyDescent="0.15">
      <c r="U275" s="59"/>
      <c r="V275" s="59"/>
      <c r="W275" s="59"/>
    </row>
    <row r="276" spans="21:23" ht="13" x14ac:dyDescent="0.15">
      <c r="U276" s="59"/>
      <c r="V276" s="59"/>
      <c r="W276" s="59"/>
    </row>
    <row r="277" spans="21:23" ht="13" x14ac:dyDescent="0.15">
      <c r="U277" s="59"/>
      <c r="V277" s="59"/>
      <c r="W277" s="59"/>
    </row>
    <row r="278" spans="21:23" ht="13" x14ac:dyDescent="0.15">
      <c r="U278" s="59"/>
      <c r="V278" s="59"/>
      <c r="W278" s="59"/>
    </row>
    <row r="279" spans="21:23" ht="13" x14ac:dyDescent="0.15">
      <c r="U279" s="59"/>
      <c r="V279" s="59"/>
      <c r="W279" s="59"/>
    </row>
    <row r="280" spans="21:23" ht="13" x14ac:dyDescent="0.15">
      <c r="U280" s="59"/>
      <c r="V280" s="59"/>
      <c r="W280" s="59"/>
    </row>
    <row r="281" spans="21:23" ht="13" x14ac:dyDescent="0.15">
      <c r="U281" s="59"/>
      <c r="V281" s="59"/>
      <c r="W281" s="59"/>
    </row>
    <row r="282" spans="21:23" ht="13" x14ac:dyDescent="0.15">
      <c r="U282" s="59"/>
      <c r="V282" s="59"/>
      <c r="W282" s="59"/>
    </row>
    <row r="283" spans="21:23" ht="13" x14ac:dyDescent="0.15">
      <c r="U283" s="59"/>
      <c r="V283" s="59"/>
      <c r="W283" s="59"/>
    </row>
    <row r="284" spans="21:23" ht="13" x14ac:dyDescent="0.15">
      <c r="U284" s="59"/>
      <c r="V284" s="59"/>
      <c r="W284" s="59"/>
    </row>
    <row r="285" spans="21:23" ht="13" x14ac:dyDescent="0.15">
      <c r="U285" s="59"/>
      <c r="V285" s="59"/>
      <c r="W285" s="59"/>
    </row>
    <row r="286" spans="21:23" ht="13" x14ac:dyDescent="0.15">
      <c r="U286" s="59"/>
      <c r="V286" s="59"/>
      <c r="W286" s="59"/>
    </row>
    <row r="287" spans="21:23" ht="13" x14ac:dyDescent="0.15">
      <c r="U287" s="59"/>
      <c r="V287" s="59"/>
      <c r="W287" s="59"/>
    </row>
    <row r="288" spans="21:23" ht="13" x14ac:dyDescent="0.15">
      <c r="U288" s="59"/>
      <c r="V288" s="59"/>
      <c r="W288" s="59"/>
    </row>
    <row r="289" spans="21:23" ht="13" x14ac:dyDescent="0.15">
      <c r="U289" s="59"/>
      <c r="V289" s="59"/>
      <c r="W289" s="59"/>
    </row>
    <row r="290" spans="21:23" ht="13" x14ac:dyDescent="0.15">
      <c r="U290" s="59"/>
      <c r="V290" s="59"/>
      <c r="W290" s="59"/>
    </row>
    <row r="291" spans="21:23" ht="13" x14ac:dyDescent="0.15">
      <c r="U291" s="59"/>
      <c r="V291" s="59"/>
      <c r="W291" s="59"/>
    </row>
    <row r="292" spans="21:23" ht="13" x14ac:dyDescent="0.15">
      <c r="U292" s="59"/>
      <c r="V292" s="59"/>
      <c r="W292" s="59"/>
    </row>
    <row r="293" spans="21:23" ht="13" x14ac:dyDescent="0.15">
      <c r="U293" s="59"/>
      <c r="V293" s="59"/>
      <c r="W293" s="59"/>
    </row>
    <row r="294" spans="21:23" ht="13" x14ac:dyDescent="0.15">
      <c r="U294" s="59"/>
      <c r="V294" s="59"/>
      <c r="W294" s="59"/>
    </row>
    <row r="295" spans="21:23" ht="13" x14ac:dyDescent="0.15">
      <c r="U295" s="59"/>
      <c r="V295" s="59"/>
      <c r="W295" s="59"/>
    </row>
    <row r="296" spans="21:23" ht="13" x14ac:dyDescent="0.15">
      <c r="U296" s="59"/>
      <c r="V296" s="59"/>
      <c r="W296" s="59"/>
    </row>
    <row r="297" spans="21:23" ht="13" x14ac:dyDescent="0.15">
      <c r="U297" s="59"/>
      <c r="V297" s="59"/>
      <c r="W297" s="59"/>
    </row>
    <row r="298" spans="21:23" ht="13" x14ac:dyDescent="0.15">
      <c r="U298" s="59"/>
      <c r="V298" s="59"/>
      <c r="W298" s="59"/>
    </row>
    <row r="299" spans="21:23" ht="13" x14ac:dyDescent="0.15">
      <c r="U299" s="59"/>
      <c r="V299" s="59"/>
      <c r="W299" s="59"/>
    </row>
    <row r="300" spans="21:23" ht="13" x14ac:dyDescent="0.15">
      <c r="U300" s="59"/>
      <c r="V300" s="59"/>
      <c r="W300" s="59"/>
    </row>
    <row r="301" spans="21:23" ht="13" x14ac:dyDescent="0.15">
      <c r="U301" s="59"/>
      <c r="V301" s="59"/>
      <c r="W301" s="59"/>
    </row>
    <row r="302" spans="21:23" ht="13" x14ac:dyDescent="0.15">
      <c r="U302" s="59"/>
      <c r="V302" s="59"/>
      <c r="W302" s="59"/>
    </row>
    <row r="303" spans="21:23" ht="13" x14ac:dyDescent="0.15">
      <c r="U303" s="59"/>
      <c r="V303" s="59"/>
      <c r="W303" s="59"/>
    </row>
    <row r="304" spans="21:23" ht="13" x14ac:dyDescent="0.15">
      <c r="U304" s="59"/>
      <c r="V304" s="59"/>
      <c r="W304" s="59"/>
    </row>
    <row r="305" spans="21:23" ht="13" x14ac:dyDescent="0.15">
      <c r="U305" s="59"/>
      <c r="V305" s="59"/>
      <c r="W305" s="59"/>
    </row>
    <row r="306" spans="21:23" ht="13" x14ac:dyDescent="0.15">
      <c r="U306" s="59"/>
      <c r="V306" s="59"/>
      <c r="W306" s="59"/>
    </row>
    <row r="307" spans="21:23" ht="13" x14ac:dyDescent="0.15">
      <c r="U307" s="59"/>
      <c r="V307" s="59"/>
      <c r="W307" s="59"/>
    </row>
    <row r="308" spans="21:23" ht="13" x14ac:dyDescent="0.15">
      <c r="U308" s="59"/>
      <c r="V308" s="59"/>
      <c r="W308" s="59"/>
    </row>
    <row r="309" spans="21:23" ht="13" x14ac:dyDescent="0.15">
      <c r="U309" s="59"/>
      <c r="V309" s="59"/>
      <c r="W309" s="59"/>
    </row>
    <row r="310" spans="21:23" ht="13" x14ac:dyDescent="0.15">
      <c r="U310" s="59"/>
      <c r="V310" s="59"/>
      <c r="W310" s="59"/>
    </row>
    <row r="311" spans="21:23" ht="13" x14ac:dyDescent="0.15">
      <c r="U311" s="59"/>
      <c r="V311" s="59"/>
      <c r="W311" s="59"/>
    </row>
    <row r="312" spans="21:23" ht="13" x14ac:dyDescent="0.15">
      <c r="U312" s="59"/>
      <c r="V312" s="59"/>
      <c r="W312" s="59"/>
    </row>
    <row r="313" spans="21:23" ht="13" x14ac:dyDescent="0.15">
      <c r="U313" s="59"/>
      <c r="V313" s="59"/>
      <c r="W313" s="59"/>
    </row>
    <row r="314" spans="21:23" ht="13" x14ac:dyDescent="0.15">
      <c r="U314" s="59"/>
      <c r="V314" s="59"/>
      <c r="W314" s="59"/>
    </row>
    <row r="315" spans="21:23" ht="13" x14ac:dyDescent="0.15">
      <c r="U315" s="59"/>
      <c r="V315" s="59"/>
      <c r="W315" s="59"/>
    </row>
    <row r="316" spans="21:23" ht="13" x14ac:dyDescent="0.15">
      <c r="U316" s="59"/>
      <c r="V316" s="59"/>
      <c r="W316" s="59"/>
    </row>
    <row r="317" spans="21:23" ht="13" x14ac:dyDescent="0.15">
      <c r="U317" s="59"/>
      <c r="V317" s="59"/>
      <c r="W317" s="59"/>
    </row>
    <row r="318" spans="21:23" ht="13" x14ac:dyDescent="0.15">
      <c r="U318" s="59"/>
      <c r="V318" s="59"/>
      <c r="W318" s="59"/>
    </row>
    <row r="319" spans="21:23" ht="13" x14ac:dyDescent="0.15">
      <c r="U319" s="59"/>
      <c r="V319" s="59"/>
      <c r="W319" s="59"/>
    </row>
    <row r="320" spans="21:23" ht="13" x14ac:dyDescent="0.15">
      <c r="U320" s="59"/>
      <c r="V320" s="59"/>
      <c r="W320" s="59"/>
    </row>
    <row r="321" spans="21:23" ht="13" x14ac:dyDescent="0.15">
      <c r="U321" s="59"/>
      <c r="V321" s="59"/>
      <c r="W321" s="59"/>
    </row>
    <row r="322" spans="21:23" ht="13" x14ac:dyDescent="0.15">
      <c r="U322" s="59"/>
      <c r="V322" s="59"/>
      <c r="W322" s="59"/>
    </row>
    <row r="323" spans="21:23" ht="13" x14ac:dyDescent="0.15">
      <c r="U323" s="59"/>
      <c r="V323" s="59"/>
      <c r="W323" s="59"/>
    </row>
    <row r="324" spans="21:23" ht="13" x14ac:dyDescent="0.15">
      <c r="U324" s="59"/>
      <c r="V324" s="59"/>
      <c r="W324" s="59"/>
    </row>
    <row r="325" spans="21:23" ht="13" x14ac:dyDescent="0.15">
      <c r="U325" s="59"/>
      <c r="V325" s="59"/>
      <c r="W325" s="59"/>
    </row>
    <row r="326" spans="21:23" ht="13" x14ac:dyDescent="0.15">
      <c r="U326" s="59"/>
      <c r="V326" s="59"/>
      <c r="W326" s="59"/>
    </row>
    <row r="327" spans="21:23" ht="13" x14ac:dyDescent="0.15">
      <c r="U327" s="59"/>
      <c r="V327" s="59"/>
      <c r="W327" s="59"/>
    </row>
    <row r="328" spans="21:23" ht="13" x14ac:dyDescent="0.15">
      <c r="U328" s="59"/>
      <c r="V328" s="59"/>
      <c r="W328" s="59"/>
    </row>
    <row r="329" spans="21:23" ht="13" x14ac:dyDescent="0.15">
      <c r="U329" s="59"/>
      <c r="V329" s="59"/>
      <c r="W329" s="59"/>
    </row>
    <row r="330" spans="21:23" ht="13" x14ac:dyDescent="0.15">
      <c r="U330" s="59"/>
      <c r="V330" s="59"/>
      <c r="W330" s="59"/>
    </row>
    <row r="331" spans="21:23" ht="13" x14ac:dyDescent="0.15">
      <c r="U331" s="59"/>
      <c r="V331" s="59"/>
      <c r="W331" s="59"/>
    </row>
    <row r="332" spans="21:23" ht="13" x14ac:dyDescent="0.15">
      <c r="U332" s="59"/>
      <c r="V332" s="59"/>
      <c r="W332" s="59"/>
    </row>
    <row r="333" spans="21:23" ht="13" x14ac:dyDescent="0.15">
      <c r="U333" s="59"/>
      <c r="V333" s="59"/>
      <c r="W333" s="59"/>
    </row>
    <row r="334" spans="21:23" ht="13" x14ac:dyDescent="0.15">
      <c r="U334" s="59"/>
      <c r="V334" s="59"/>
      <c r="W334" s="59"/>
    </row>
    <row r="335" spans="21:23" ht="13" x14ac:dyDescent="0.15">
      <c r="U335" s="59"/>
      <c r="V335" s="59"/>
      <c r="W335" s="59"/>
    </row>
    <row r="336" spans="21:23" ht="13" x14ac:dyDescent="0.15">
      <c r="U336" s="59"/>
      <c r="V336" s="59"/>
      <c r="W336" s="59"/>
    </row>
    <row r="337" spans="21:23" ht="13" x14ac:dyDescent="0.15">
      <c r="U337" s="59"/>
      <c r="V337" s="59"/>
      <c r="W337" s="59"/>
    </row>
    <row r="338" spans="21:23" ht="13" x14ac:dyDescent="0.15">
      <c r="U338" s="59"/>
      <c r="V338" s="59"/>
      <c r="W338" s="59"/>
    </row>
    <row r="339" spans="21:23" ht="13" x14ac:dyDescent="0.15">
      <c r="U339" s="59"/>
      <c r="V339" s="59"/>
      <c r="W339" s="59"/>
    </row>
    <row r="340" spans="21:23" ht="13" x14ac:dyDescent="0.15">
      <c r="U340" s="59"/>
      <c r="V340" s="59"/>
      <c r="W340" s="59"/>
    </row>
    <row r="341" spans="21:23" ht="13" x14ac:dyDescent="0.15">
      <c r="U341" s="59"/>
      <c r="V341" s="59"/>
      <c r="W341" s="59"/>
    </row>
    <row r="342" spans="21:23" ht="13" x14ac:dyDescent="0.15">
      <c r="U342" s="59"/>
      <c r="V342" s="59"/>
      <c r="W342" s="59"/>
    </row>
    <row r="343" spans="21:23" ht="13" x14ac:dyDescent="0.15">
      <c r="U343" s="59"/>
      <c r="V343" s="59"/>
      <c r="W343" s="59"/>
    </row>
    <row r="344" spans="21:23" ht="13" x14ac:dyDescent="0.15">
      <c r="U344" s="59"/>
      <c r="V344" s="59"/>
      <c r="W344" s="59"/>
    </row>
    <row r="345" spans="21:23" ht="13" x14ac:dyDescent="0.15">
      <c r="U345" s="59"/>
      <c r="V345" s="59"/>
      <c r="W345" s="59"/>
    </row>
    <row r="346" spans="21:23" ht="13" x14ac:dyDescent="0.15">
      <c r="U346" s="59"/>
      <c r="V346" s="59"/>
      <c r="W346" s="59"/>
    </row>
    <row r="347" spans="21:23" ht="13" x14ac:dyDescent="0.15">
      <c r="U347" s="59"/>
      <c r="V347" s="59"/>
      <c r="W347" s="59"/>
    </row>
    <row r="348" spans="21:23" ht="13" x14ac:dyDescent="0.15">
      <c r="U348" s="59"/>
      <c r="V348" s="59"/>
      <c r="W348" s="59"/>
    </row>
    <row r="349" spans="21:23" ht="13" x14ac:dyDescent="0.15">
      <c r="U349" s="59"/>
      <c r="V349" s="59"/>
      <c r="W349" s="59"/>
    </row>
    <row r="350" spans="21:23" ht="13" x14ac:dyDescent="0.15">
      <c r="U350" s="59"/>
      <c r="V350" s="59"/>
      <c r="W350" s="59"/>
    </row>
    <row r="351" spans="21:23" ht="13" x14ac:dyDescent="0.15">
      <c r="U351" s="59"/>
      <c r="V351" s="59"/>
      <c r="W351" s="59"/>
    </row>
    <row r="352" spans="21:23" ht="13" x14ac:dyDescent="0.15">
      <c r="U352" s="59"/>
      <c r="V352" s="59"/>
      <c r="W352" s="59"/>
    </row>
    <row r="353" spans="21:23" ht="13" x14ac:dyDescent="0.15">
      <c r="U353" s="59"/>
      <c r="V353" s="59"/>
      <c r="W353" s="59"/>
    </row>
    <row r="354" spans="21:23" ht="13" x14ac:dyDescent="0.15">
      <c r="U354" s="59"/>
      <c r="V354" s="59"/>
      <c r="W354" s="59"/>
    </row>
    <row r="355" spans="21:23" ht="13" x14ac:dyDescent="0.15">
      <c r="U355" s="59"/>
      <c r="V355" s="59"/>
      <c r="W355" s="59"/>
    </row>
    <row r="356" spans="21:23" ht="13" x14ac:dyDescent="0.15">
      <c r="U356" s="59"/>
      <c r="V356" s="59"/>
      <c r="W356" s="59"/>
    </row>
    <row r="357" spans="21:23" ht="13" x14ac:dyDescent="0.15">
      <c r="U357" s="59"/>
      <c r="V357" s="59"/>
      <c r="W357" s="59"/>
    </row>
    <row r="358" spans="21:23" ht="13" x14ac:dyDescent="0.15">
      <c r="U358" s="59"/>
      <c r="V358" s="59"/>
      <c r="W358" s="59"/>
    </row>
    <row r="359" spans="21:23" ht="13" x14ac:dyDescent="0.15">
      <c r="U359" s="59"/>
      <c r="V359" s="59"/>
      <c r="W359" s="59"/>
    </row>
    <row r="360" spans="21:23" ht="13" x14ac:dyDescent="0.15">
      <c r="U360" s="59"/>
      <c r="V360" s="59"/>
      <c r="W360" s="59"/>
    </row>
    <row r="361" spans="21:23" ht="13" x14ac:dyDescent="0.15">
      <c r="U361" s="59"/>
      <c r="V361" s="59"/>
      <c r="W361" s="59"/>
    </row>
    <row r="362" spans="21:23" ht="13" x14ac:dyDescent="0.15">
      <c r="U362" s="59"/>
      <c r="V362" s="59"/>
      <c r="W362" s="59"/>
    </row>
    <row r="363" spans="21:23" ht="13" x14ac:dyDescent="0.15">
      <c r="U363" s="59"/>
      <c r="V363" s="59"/>
      <c r="W363" s="59"/>
    </row>
    <row r="364" spans="21:23" ht="13" x14ac:dyDescent="0.15">
      <c r="U364" s="59"/>
      <c r="V364" s="59"/>
      <c r="W364" s="59"/>
    </row>
    <row r="365" spans="21:23" ht="13" x14ac:dyDescent="0.15">
      <c r="U365" s="59"/>
      <c r="V365" s="59"/>
      <c r="W365" s="59"/>
    </row>
    <row r="366" spans="21:23" ht="13" x14ac:dyDescent="0.15">
      <c r="U366" s="59"/>
      <c r="V366" s="59"/>
      <c r="W366" s="59"/>
    </row>
    <row r="367" spans="21:23" ht="13" x14ac:dyDescent="0.15">
      <c r="U367" s="59"/>
      <c r="V367" s="59"/>
      <c r="W367" s="59"/>
    </row>
    <row r="368" spans="21:23" ht="13" x14ac:dyDescent="0.15">
      <c r="U368" s="59"/>
      <c r="V368" s="59"/>
      <c r="W368" s="59"/>
    </row>
    <row r="369" spans="21:23" ht="13" x14ac:dyDescent="0.15">
      <c r="U369" s="59"/>
      <c r="V369" s="59"/>
      <c r="W369" s="59"/>
    </row>
    <row r="370" spans="21:23" ht="13" x14ac:dyDescent="0.15">
      <c r="U370" s="59"/>
      <c r="V370" s="59"/>
      <c r="W370" s="59"/>
    </row>
    <row r="371" spans="21:23" ht="13" x14ac:dyDescent="0.15">
      <c r="U371" s="59"/>
      <c r="V371" s="59"/>
      <c r="W371" s="59"/>
    </row>
    <row r="372" spans="21:23" ht="13" x14ac:dyDescent="0.15">
      <c r="U372" s="59"/>
      <c r="V372" s="59"/>
      <c r="W372" s="59"/>
    </row>
    <row r="373" spans="21:23" ht="13" x14ac:dyDescent="0.15">
      <c r="U373" s="59"/>
      <c r="V373" s="59"/>
      <c r="W373" s="59"/>
    </row>
    <row r="374" spans="21:23" ht="13" x14ac:dyDescent="0.15">
      <c r="U374" s="59"/>
      <c r="V374" s="59"/>
      <c r="W374" s="59"/>
    </row>
    <row r="375" spans="21:23" ht="13" x14ac:dyDescent="0.15">
      <c r="U375" s="59"/>
      <c r="V375" s="59"/>
      <c r="W375" s="59"/>
    </row>
    <row r="376" spans="21:23" ht="13" x14ac:dyDescent="0.15">
      <c r="U376" s="59"/>
      <c r="V376" s="59"/>
      <c r="W376" s="59"/>
    </row>
    <row r="377" spans="21:23" ht="13" x14ac:dyDescent="0.15">
      <c r="U377" s="59"/>
      <c r="V377" s="59"/>
      <c r="W377" s="59"/>
    </row>
    <row r="378" spans="21:23" ht="13" x14ac:dyDescent="0.15">
      <c r="U378" s="59"/>
      <c r="V378" s="59"/>
      <c r="W378" s="59"/>
    </row>
    <row r="379" spans="21:23" ht="13" x14ac:dyDescent="0.15">
      <c r="U379" s="59"/>
      <c r="V379" s="59"/>
      <c r="W379" s="59"/>
    </row>
    <row r="380" spans="21:23" ht="13" x14ac:dyDescent="0.15">
      <c r="U380" s="59"/>
      <c r="V380" s="59"/>
      <c r="W380" s="59"/>
    </row>
    <row r="381" spans="21:23" ht="13" x14ac:dyDescent="0.15">
      <c r="U381" s="59"/>
      <c r="V381" s="59"/>
      <c r="W381" s="59"/>
    </row>
    <row r="382" spans="21:23" ht="13" x14ac:dyDescent="0.15">
      <c r="U382" s="59"/>
      <c r="V382" s="59"/>
      <c r="W382" s="59"/>
    </row>
    <row r="383" spans="21:23" ht="13" x14ac:dyDescent="0.15">
      <c r="U383" s="59"/>
      <c r="V383" s="59"/>
      <c r="W383" s="59"/>
    </row>
    <row r="384" spans="21:23" ht="13" x14ac:dyDescent="0.15">
      <c r="U384" s="59"/>
      <c r="V384" s="59"/>
      <c r="W384" s="59"/>
    </row>
    <row r="385" spans="21:23" ht="13" x14ac:dyDescent="0.15">
      <c r="U385" s="59"/>
      <c r="V385" s="59"/>
      <c r="W385" s="59"/>
    </row>
    <row r="386" spans="21:23" ht="13" x14ac:dyDescent="0.15">
      <c r="U386" s="59"/>
      <c r="V386" s="59"/>
      <c r="W386" s="59"/>
    </row>
    <row r="387" spans="21:23" ht="13" x14ac:dyDescent="0.15">
      <c r="U387" s="59"/>
      <c r="V387" s="59"/>
      <c r="W387" s="59"/>
    </row>
    <row r="388" spans="21:23" ht="13" x14ac:dyDescent="0.15">
      <c r="U388" s="59"/>
      <c r="V388" s="59"/>
      <c r="W388" s="59"/>
    </row>
    <row r="389" spans="21:23" ht="13" x14ac:dyDescent="0.15">
      <c r="U389" s="59"/>
      <c r="V389" s="59"/>
      <c r="W389" s="59"/>
    </row>
    <row r="390" spans="21:23" ht="13" x14ac:dyDescent="0.15">
      <c r="U390" s="59"/>
      <c r="V390" s="59"/>
      <c r="W390" s="59"/>
    </row>
    <row r="391" spans="21:23" ht="13" x14ac:dyDescent="0.15">
      <c r="U391" s="59"/>
      <c r="V391" s="59"/>
      <c r="W391" s="59"/>
    </row>
    <row r="392" spans="21:23" ht="13" x14ac:dyDescent="0.15">
      <c r="U392" s="59"/>
      <c r="V392" s="59"/>
      <c r="W392" s="59"/>
    </row>
    <row r="393" spans="21:23" ht="13" x14ac:dyDescent="0.15">
      <c r="U393" s="59"/>
      <c r="V393" s="59"/>
      <c r="W393" s="59"/>
    </row>
    <row r="394" spans="21:23" ht="13" x14ac:dyDescent="0.15">
      <c r="U394" s="59"/>
      <c r="V394" s="59"/>
      <c r="W394" s="59"/>
    </row>
    <row r="395" spans="21:23" ht="13" x14ac:dyDescent="0.15">
      <c r="U395" s="59"/>
      <c r="V395" s="59"/>
      <c r="W395" s="59"/>
    </row>
    <row r="396" spans="21:23" ht="13" x14ac:dyDescent="0.15">
      <c r="U396" s="59"/>
      <c r="V396" s="59"/>
      <c r="W396" s="59"/>
    </row>
    <row r="397" spans="21:23" ht="13" x14ac:dyDescent="0.15">
      <c r="U397" s="59"/>
      <c r="V397" s="59"/>
      <c r="W397" s="59"/>
    </row>
    <row r="398" spans="21:23" ht="13" x14ac:dyDescent="0.15">
      <c r="U398" s="59"/>
      <c r="V398" s="59"/>
      <c r="W398" s="59"/>
    </row>
    <row r="399" spans="21:23" ht="13" x14ac:dyDescent="0.15">
      <c r="U399" s="59"/>
      <c r="V399" s="59"/>
      <c r="W399" s="59"/>
    </row>
    <row r="400" spans="21:23" ht="13" x14ac:dyDescent="0.15">
      <c r="U400" s="59"/>
      <c r="V400" s="59"/>
      <c r="W400" s="59"/>
    </row>
    <row r="401" spans="21:23" ht="13" x14ac:dyDescent="0.15">
      <c r="U401" s="59"/>
      <c r="V401" s="59"/>
      <c r="W401" s="59"/>
    </row>
    <row r="402" spans="21:23" ht="13" x14ac:dyDescent="0.15">
      <c r="U402" s="59"/>
      <c r="V402" s="59"/>
      <c r="W402" s="59"/>
    </row>
    <row r="403" spans="21:23" ht="13" x14ac:dyDescent="0.15">
      <c r="U403" s="59"/>
      <c r="V403" s="59"/>
      <c r="W403" s="59"/>
    </row>
    <row r="404" spans="21:23" ht="13" x14ac:dyDescent="0.15">
      <c r="U404" s="59"/>
      <c r="V404" s="59"/>
      <c r="W404" s="59"/>
    </row>
    <row r="405" spans="21:23" ht="13" x14ac:dyDescent="0.15">
      <c r="U405" s="59"/>
      <c r="V405" s="59"/>
      <c r="W405" s="59"/>
    </row>
    <row r="406" spans="21:23" ht="13" x14ac:dyDescent="0.15">
      <c r="U406" s="59"/>
      <c r="V406" s="59"/>
      <c r="W406" s="59"/>
    </row>
    <row r="407" spans="21:23" ht="13" x14ac:dyDescent="0.15">
      <c r="U407" s="59"/>
      <c r="V407" s="59"/>
      <c r="W407" s="59"/>
    </row>
    <row r="408" spans="21:23" ht="13" x14ac:dyDescent="0.15">
      <c r="U408" s="59"/>
      <c r="V408" s="59"/>
      <c r="W408" s="59"/>
    </row>
    <row r="409" spans="21:23" ht="13" x14ac:dyDescent="0.15">
      <c r="U409" s="59"/>
      <c r="V409" s="59"/>
      <c r="W409" s="59"/>
    </row>
    <row r="410" spans="21:23" ht="13" x14ac:dyDescent="0.15">
      <c r="U410" s="59"/>
      <c r="V410" s="59"/>
      <c r="W410" s="59"/>
    </row>
    <row r="411" spans="21:23" ht="13" x14ac:dyDescent="0.15">
      <c r="U411" s="59"/>
      <c r="V411" s="59"/>
      <c r="W411" s="59"/>
    </row>
    <row r="412" spans="21:23" ht="13" x14ac:dyDescent="0.15">
      <c r="U412" s="59"/>
      <c r="V412" s="59"/>
      <c r="W412" s="59"/>
    </row>
    <row r="413" spans="21:23" ht="13" x14ac:dyDescent="0.15">
      <c r="U413" s="59"/>
      <c r="V413" s="59"/>
      <c r="W413" s="59"/>
    </row>
    <row r="414" spans="21:23" ht="13" x14ac:dyDescent="0.15">
      <c r="U414" s="59"/>
      <c r="V414" s="59"/>
      <c r="W414" s="59"/>
    </row>
    <row r="415" spans="21:23" ht="13" x14ac:dyDescent="0.15">
      <c r="U415" s="59"/>
      <c r="V415" s="59"/>
      <c r="W415" s="59"/>
    </row>
    <row r="416" spans="21:23" ht="13" x14ac:dyDescent="0.15">
      <c r="U416" s="59"/>
      <c r="V416" s="59"/>
      <c r="W416" s="59"/>
    </row>
    <row r="417" spans="21:23" ht="13" x14ac:dyDescent="0.15">
      <c r="U417" s="59"/>
      <c r="V417" s="59"/>
      <c r="W417" s="59"/>
    </row>
    <row r="418" spans="21:23" ht="13" x14ac:dyDescent="0.15">
      <c r="U418" s="59"/>
      <c r="V418" s="59"/>
      <c r="W418" s="59"/>
    </row>
    <row r="419" spans="21:23" ht="13" x14ac:dyDescent="0.15">
      <c r="U419" s="59"/>
      <c r="V419" s="59"/>
      <c r="W419" s="59"/>
    </row>
    <row r="420" spans="21:23" ht="13" x14ac:dyDescent="0.15">
      <c r="U420" s="59"/>
      <c r="V420" s="59"/>
      <c r="W420" s="59"/>
    </row>
    <row r="421" spans="21:23" ht="13" x14ac:dyDescent="0.15">
      <c r="U421" s="59"/>
      <c r="V421" s="59"/>
      <c r="W421" s="59"/>
    </row>
    <row r="422" spans="21:23" ht="13" x14ac:dyDescent="0.15">
      <c r="U422" s="59"/>
      <c r="V422" s="59"/>
      <c r="W422" s="59"/>
    </row>
    <row r="423" spans="21:23" ht="13" x14ac:dyDescent="0.15">
      <c r="U423" s="59"/>
      <c r="V423" s="59"/>
      <c r="W423" s="59"/>
    </row>
    <row r="424" spans="21:23" ht="13" x14ac:dyDescent="0.15">
      <c r="U424" s="59"/>
      <c r="V424" s="59"/>
      <c r="W424" s="59"/>
    </row>
    <row r="425" spans="21:23" ht="13" x14ac:dyDescent="0.15">
      <c r="U425" s="59"/>
      <c r="V425" s="59"/>
      <c r="W425" s="59"/>
    </row>
    <row r="426" spans="21:23" ht="13" x14ac:dyDescent="0.15">
      <c r="U426" s="59"/>
      <c r="V426" s="59"/>
      <c r="W426" s="59"/>
    </row>
    <row r="427" spans="21:23" ht="13" x14ac:dyDescent="0.15">
      <c r="U427" s="59"/>
      <c r="V427" s="59"/>
      <c r="W427" s="59"/>
    </row>
    <row r="428" spans="21:23" ht="13" x14ac:dyDescent="0.15">
      <c r="U428" s="59"/>
      <c r="V428" s="59"/>
      <c r="W428" s="59"/>
    </row>
    <row r="429" spans="21:23" ht="13" x14ac:dyDescent="0.15">
      <c r="U429" s="59"/>
      <c r="V429" s="59"/>
      <c r="W429" s="59"/>
    </row>
    <row r="430" spans="21:23" ht="13" x14ac:dyDescent="0.15">
      <c r="U430" s="59"/>
      <c r="V430" s="59"/>
      <c r="W430" s="59"/>
    </row>
    <row r="431" spans="21:23" ht="13" x14ac:dyDescent="0.15">
      <c r="U431" s="59"/>
      <c r="V431" s="59"/>
      <c r="W431" s="59"/>
    </row>
    <row r="432" spans="21:23" ht="13" x14ac:dyDescent="0.15">
      <c r="U432" s="59"/>
      <c r="V432" s="59"/>
      <c r="W432" s="59"/>
    </row>
    <row r="433" spans="21:23" ht="13" x14ac:dyDescent="0.15">
      <c r="U433" s="59"/>
      <c r="V433" s="59"/>
      <c r="W433" s="59"/>
    </row>
    <row r="434" spans="21:23" ht="13" x14ac:dyDescent="0.15">
      <c r="U434" s="59"/>
      <c r="V434" s="59"/>
      <c r="W434" s="59"/>
    </row>
    <row r="435" spans="21:23" ht="13" x14ac:dyDescent="0.15">
      <c r="U435" s="59"/>
      <c r="V435" s="59"/>
      <c r="W435" s="59"/>
    </row>
    <row r="436" spans="21:23" ht="13" x14ac:dyDescent="0.15">
      <c r="U436" s="59"/>
      <c r="V436" s="59"/>
      <c r="W436" s="59"/>
    </row>
    <row r="437" spans="21:23" ht="13" x14ac:dyDescent="0.15">
      <c r="U437" s="59"/>
      <c r="V437" s="59"/>
      <c r="W437" s="59"/>
    </row>
    <row r="438" spans="21:23" ht="13" x14ac:dyDescent="0.15">
      <c r="U438" s="59"/>
      <c r="V438" s="59"/>
      <c r="W438" s="59"/>
    </row>
    <row r="439" spans="21:23" ht="13" x14ac:dyDescent="0.15">
      <c r="U439" s="59"/>
      <c r="V439" s="59"/>
      <c r="W439" s="59"/>
    </row>
    <row r="440" spans="21:23" ht="13" x14ac:dyDescent="0.15">
      <c r="U440" s="59"/>
      <c r="V440" s="59"/>
      <c r="W440" s="59"/>
    </row>
    <row r="441" spans="21:23" ht="13" x14ac:dyDescent="0.15">
      <c r="U441" s="59"/>
      <c r="V441" s="59"/>
      <c r="W441" s="59"/>
    </row>
    <row r="442" spans="21:23" ht="13" x14ac:dyDescent="0.15">
      <c r="U442" s="59"/>
      <c r="V442" s="59"/>
      <c r="W442" s="59"/>
    </row>
    <row r="443" spans="21:23" ht="13" x14ac:dyDescent="0.15">
      <c r="U443" s="59"/>
      <c r="V443" s="59"/>
      <c r="W443" s="59"/>
    </row>
    <row r="444" spans="21:23" ht="13" x14ac:dyDescent="0.15">
      <c r="U444" s="59"/>
      <c r="V444" s="59"/>
      <c r="W444" s="59"/>
    </row>
    <row r="445" spans="21:23" ht="13" x14ac:dyDescent="0.15">
      <c r="U445" s="59"/>
      <c r="V445" s="59"/>
      <c r="W445" s="59"/>
    </row>
    <row r="446" spans="21:23" ht="13" x14ac:dyDescent="0.15">
      <c r="U446" s="59"/>
      <c r="V446" s="59"/>
      <c r="W446" s="59"/>
    </row>
    <row r="447" spans="21:23" ht="13" x14ac:dyDescent="0.15">
      <c r="U447" s="59"/>
      <c r="V447" s="59"/>
      <c r="W447" s="59"/>
    </row>
    <row r="448" spans="21:23" ht="13" x14ac:dyDescent="0.15">
      <c r="U448" s="59"/>
      <c r="V448" s="59"/>
      <c r="W448" s="59"/>
    </row>
    <row r="449" spans="21:23" ht="13" x14ac:dyDescent="0.15">
      <c r="U449" s="59"/>
      <c r="V449" s="59"/>
      <c r="W449" s="59"/>
    </row>
    <row r="450" spans="21:23" ht="13" x14ac:dyDescent="0.15">
      <c r="U450" s="59"/>
      <c r="V450" s="59"/>
      <c r="W450" s="59"/>
    </row>
    <row r="451" spans="21:23" ht="13" x14ac:dyDescent="0.15">
      <c r="U451" s="59"/>
      <c r="V451" s="59"/>
      <c r="W451" s="59"/>
    </row>
    <row r="452" spans="21:23" ht="13" x14ac:dyDescent="0.15">
      <c r="U452" s="59"/>
      <c r="V452" s="59"/>
      <c r="W452" s="59"/>
    </row>
    <row r="453" spans="21:23" ht="13" x14ac:dyDescent="0.15">
      <c r="U453" s="59"/>
      <c r="V453" s="59"/>
      <c r="W453" s="59"/>
    </row>
    <row r="454" spans="21:23" ht="13" x14ac:dyDescent="0.15">
      <c r="U454" s="59"/>
      <c r="V454" s="59"/>
      <c r="W454" s="59"/>
    </row>
    <row r="455" spans="21:23" ht="13" x14ac:dyDescent="0.15">
      <c r="U455" s="59"/>
      <c r="V455" s="59"/>
      <c r="W455" s="59"/>
    </row>
    <row r="456" spans="21:23" ht="13" x14ac:dyDescent="0.15">
      <c r="U456" s="59"/>
      <c r="V456" s="59"/>
      <c r="W456" s="59"/>
    </row>
    <row r="457" spans="21:23" ht="13" x14ac:dyDescent="0.15">
      <c r="U457" s="59"/>
      <c r="V457" s="59"/>
      <c r="W457" s="59"/>
    </row>
    <row r="458" spans="21:23" ht="13" x14ac:dyDescent="0.15">
      <c r="U458" s="59"/>
      <c r="V458" s="59"/>
      <c r="W458" s="59"/>
    </row>
    <row r="459" spans="21:23" ht="13" x14ac:dyDescent="0.15">
      <c r="U459" s="59"/>
      <c r="V459" s="59"/>
      <c r="W459" s="59"/>
    </row>
    <row r="460" spans="21:23" ht="13" x14ac:dyDescent="0.15">
      <c r="U460" s="59"/>
      <c r="V460" s="59"/>
      <c r="W460" s="59"/>
    </row>
    <row r="461" spans="21:23" ht="13" x14ac:dyDescent="0.15">
      <c r="U461" s="59"/>
      <c r="V461" s="59"/>
      <c r="W461" s="59"/>
    </row>
    <row r="462" spans="21:23" ht="13" x14ac:dyDescent="0.15">
      <c r="U462" s="59"/>
      <c r="V462" s="59"/>
      <c r="W462" s="59"/>
    </row>
    <row r="463" spans="21:23" ht="13" x14ac:dyDescent="0.15">
      <c r="U463" s="59"/>
      <c r="V463" s="59"/>
      <c r="W463" s="59"/>
    </row>
    <row r="464" spans="21:23" ht="13" x14ac:dyDescent="0.15">
      <c r="U464" s="59"/>
      <c r="V464" s="59"/>
      <c r="W464" s="59"/>
    </row>
    <row r="465" spans="21:23" ht="13" x14ac:dyDescent="0.15">
      <c r="U465" s="59"/>
      <c r="V465" s="59"/>
      <c r="W465" s="59"/>
    </row>
    <row r="466" spans="21:23" ht="13" x14ac:dyDescent="0.15">
      <c r="U466" s="59"/>
      <c r="V466" s="59"/>
      <c r="W466" s="59"/>
    </row>
    <row r="467" spans="21:23" ht="13" x14ac:dyDescent="0.15">
      <c r="U467" s="59"/>
      <c r="V467" s="59"/>
      <c r="W467" s="59"/>
    </row>
    <row r="468" spans="21:23" ht="13" x14ac:dyDescent="0.15">
      <c r="U468" s="59"/>
      <c r="V468" s="59"/>
      <c r="W468" s="59"/>
    </row>
    <row r="469" spans="21:23" ht="13" x14ac:dyDescent="0.15">
      <c r="U469" s="59"/>
      <c r="V469" s="59"/>
      <c r="W469" s="59"/>
    </row>
    <row r="470" spans="21:23" ht="13" x14ac:dyDescent="0.15">
      <c r="U470" s="59"/>
      <c r="V470" s="59"/>
      <c r="W470" s="59"/>
    </row>
    <row r="471" spans="21:23" ht="13" x14ac:dyDescent="0.15">
      <c r="U471" s="59"/>
      <c r="V471" s="59"/>
      <c r="W471" s="59"/>
    </row>
    <row r="472" spans="21:23" ht="13" x14ac:dyDescent="0.15">
      <c r="U472" s="59"/>
      <c r="V472" s="59"/>
      <c r="W472" s="59"/>
    </row>
    <row r="473" spans="21:23" ht="13" x14ac:dyDescent="0.15">
      <c r="U473" s="59"/>
      <c r="V473" s="59"/>
      <c r="W473" s="59"/>
    </row>
    <row r="474" spans="21:23" ht="13" x14ac:dyDescent="0.15">
      <c r="U474" s="59"/>
      <c r="V474" s="59"/>
      <c r="W474" s="59"/>
    </row>
    <row r="475" spans="21:23" ht="13" x14ac:dyDescent="0.15">
      <c r="U475" s="59"/>
      <c r="V475" s="59"/>
      <c r="W475" s="59"/>
    </row>
    <row r="476" spans="21:23" ht="13" x14ac:dyDescent="0.15">
      <c r="U476" s="59"/>
      <c r="V476" s="59"/>
      <c r="W476" s="59"/>
    </row>
    <row r="477" spans="21:23" ht="13" x14ac:dyDescent="0.15">
      <c r="U477" s="59"/>
      <c r="V477" s="59"/>
      <c r="W477" s="59"/>
    </row>
    <row r="478" spans="21:23" ht="13" x14ac:dyDescent="0.15">
      <c r="U478" s="59"/>
      <c r="V478" s="59"/>
      <c r="W478" s="59"/>
    </row>
    <row r="479" spans="21:23" ht="13" x14ac:dyDescent="0.15">
      <c r="U479" s="59"/>
      <c r="V479" s="59"/>
      <c r="W479" s="59"/>
    </row>
    <row r="480" spans="21:23" ht="13" x14ac:dyDescent="0.15">
      <c r="U480" s="59"/>
      <c r="V480" s="59"/>
      <c r="W480" s="59"/>
    </row>
    <row r="481" spans="21:23" ht="13" x14ac:dyDescent="0.15">
      <c r="U481" s="59"/>
      <c r="V481" s="59"/>
      <c r="W481" s="59"/>
    </row>
    <row r="482" spans="21:23" ht="13" x14ac:dyDescent="0.15">
      <c r="U482" s="59"/>
      <c r="V482" s="59"/>
      <c r="W482" s="59"/>
    </row>
    <row r="483" spans="21:23" ht="13" x14ac:dyDescent="0.15">
      <c r="U483" s="59"/>
      <c r="V483" s="59"/>
      <c r="W483" s="59"/>
    </row>
    <row r="484" spans="21:23" ht="13" x14ac:dyDescent="0.15">
      <c r="U484" s="59"/>
      <c r="V484" s="59"/>
      <c r="W484" s="59"/>
    </row>
    <row r="485" spans="21:23" ht="13" x14ac:dyDescent="0.15">
      <c r="U485" s="59"/>
      <c r="V485" s="59"/>
      <c r="W485" s="59"/>
    </row>
    <row r="486" spans="21:23" ht="13" x14ac:dyDescent="0.15">
      <c r="U486" s="59"/>
      <c r="V486" s="59"/>
      <c r="W486" s="59"/>
    </row>
    <row r="487" spans="21:23" ht="13" x14ac:dyDescent="0.15">
      <c r="U487" s="59"/>
      <c r="V487" s="59"/>
      <c r="W487" s="59"/>
    </row>
    <row r="488" spans="21:23" ht="13" x14ac:dyDescent="0.15">
      <c r="U488" s="59"/>
      <c r="V488" s="59"/>
      <c r="W488" s="59"/>
    </row>
    <row r="489" spans="21:23" ht="13" x14ac:dyDescent="0.15">
      <c r="U489" s="59"/>
      <c r="V489" s="59"/>
      <c r="W489" s="59"/>
    </row>
    <row r="490" spans="21:23" ht="13" x14ac:dyDescent="0.15">
      <c r="U490" s="59"/>
      <c r="V490" s="59"/>
      <c r="W490" s="59"/>
    </row>
    <row r="491" spans="21:23" ht="13" x14ac:dyDescent="0.15">
      <c r="U491" s="59"/>
      <c r="V491" s="59"/>
      <c r="W491" s="59"/>
    </row>
    <row r="492" spans="21:23" ht="13" x14ac:dyDescent="0.15">
      <c r="U492" s="59"/>
      <c r="V492" s="59"/>
      <c r="W492" s="59"/>
    </row>
    <row r="493" spans="21:23" ht="13" x14ac:dyDescent="0.15">
      <c r="U493" s="59"/>
      <c r="V493" s="59"/>
      <c r="W493" s="59"/>
    </row>
    <row r="494" spans="21:23" ht="13" x14ac:dyDescent="0.15">
      <c r="U494" s="59"/>
      <c r="V494" s="59"/>
      <c r="W494" s="59"/>
    </row>
    <row r="495" spans="21:23" ht="13" x14ac:dyDescent="0.15">
      <c r="U495" s="59"/>
      <c r="V495" s="59"/>
      <c r="W495" s="59"/>
    </row>
    <row r="496" spans="21:23" ht="13" x14ac:dyDescent="0.15">
      <c r="U496" s="59"/>
      <c r="V496" s="59"/>
      <c r="W496" s="59"/>
    </row>
    <row r="497" spans="21:23" ht="13" x14ac:dyDescent="0.15">
      <c r="U497" s="59"/>
      <c r="V497" s="59"/>
      <c r="W497" s="59"/>
    </row>
    <row r="498" spans="21:23" ht="13" x14ac:dyDescent="0.15">
      <c r="U498" s="59"/>
      <c r="V498" s="59"/>
      <c r="W498" s="59"/>
    </row>
    <row r="499" spans="21:23" ht="13" x14ac:dyDescent="0.15">
      <c r="U499" s="59"/>
      <c r="V499" s="59"/>
      <c r="W499" s="59"/>
    </row>
    <row r="500" spans="21:23" ht="13" x14ac:dyDescent="0.15">
      <c r="U500" s="59"/>
      <c r="V500" s="59"/>
      <c r="W500" s="59"/>
    </row>
    <row r="501" spans="21:23" ht="13" x14ac:dyDescent="0.15">
      <c r="U501" s="59"/>
      <c r="V501" s="59"/>
      <c r="W501" s="59"/>
    </row>
    <row r="502" spans="21:23" ht="13" x14ac:dyDescent="0.15">
      <c r="U502" s="59"/>
      <c r="V502" s="59"/>
      <c r="W502" s="59"/>
    </row>
    <row r="503" spans="21:23" ht="13" x14ac:dyDescent="0.15">
      <c r="U503" s="59"/>
      <c r="V503" s="59"/>
      <c r="W503" s="59"/>
    </row>
    <row r="504" spans="21:23" ht="13" x14ac:dyDescent="0.15">
      <c r="U504" s="59"/>
      <c r="V504" s="59"/>
      <c r="W504" s="59"/>
    </row>
    <row r="505" spans="21:23" ht="13" x14ac:dyDescent="0.15">
      <c r="U505" s="59"/>
      <c r="V505" s="59"/>
      <c r="W505" s="59"/>
    </row>
    <row r="506" spans="21:23" ht="13" x14ac:dyDescent="0.15">
      <c r="U506" s="59"/>
      <c r="V506" s="59"/>
      <c r="W506" s="59"/>
    </row>
    <row r="507" spans="21:23" ht="13" x14ac:dyDescent="0.15">
      <c r="U507" s="59"/>
      <c r="V507" s="59"/>
      <c r="W507" s="59"/>
    </row>
    <row r="508" spans="21:23" ht="13" x14ac:dyDescent="0.15">
      <c r="U508" s="59"/>
      <c r="V508" s="59"/>
      <c r="W508" s="59"/>
    </row>
    <row r="509" spans="21:23" ht="13" x14ac:dyDescent="0.15">
      <c r="U509" s="59"/>
      <c r="V509" s="59"/>
      <c r="W509" s="59"/>
    </row>
    <row r="510" spans="21:23" ht="13" x14ac:dyDescent="0.15">
      <c r="U510" s="59"/>
      <c r="V510" s="59"/>
      <c r="W510" s="59"/>
    </row>
    <row r="511" spans="21:23" ht="13" x14ac:dyDescent="0.15">
      <c r="U511" s="59"/>
      <c r="V511" s="59"/>
      <c r="W511" s="59"/>
    </row>
    <row r="512" spans="21:23" ht="13" x14ac:dyDescent="0.15">
      <c r="U512" s="59"/>
      <c r="V512" s="59"/>
      <c r="W512" s="59"/>
    </row>
    <row r="513" spans="21:23" ht="13" x14ac:dyDescent="0.15">
      <c r="U513" s="59"/>
      <c r="V513" s="59"/>
      <c r="W513" s="59"/>
    </row>
    <row r="514" spans="21:23" ht="13" x14ac:dyDescent="0.15">
      <c r="U514" s="59"/>
      <c r="V514" s="59"/>
      <c r="W514" s="59"/>
    </row>
    <row r="515" spans="21:23" ht="13" x14ac:dyDescent="0.15">
      <c r="U515" s="59"/>
      <c r="V515" s="59"/>
      <c r="W515" s="59"/>
    </row>
    <row r="516" spans="21:23" ht="13" x14ac:dyDescent="0.15">
      <c r="U516" s="59"/>
      <c r="V516" s="59"/>
      <c r="W516" s="59"/>
    </row>
    <row r="517" spans="21:23" ht="13" x14ac:dyDescent="0.15">
      <c r="U517" s="59"/>
      <c r="V517" s="59"/>
      <c r="W517" s="59"/>
    </row>
    <row r="518" spans="21:23" ht="13" x14ac:dyDescent="0.15">
      <c r="U518" s="59"/>
      <c r="V518" s="59"/>
      <c r="W518" s="59"/>
    </row>
    <row r="519" spans="21:23" ht="13" x14ac:dyDescent="0.15">
      <c r="U519" s="59"/>
      <c r="V519" s="59"/>
      <c r="W519" s="59"/>
    </row>
    <row r="520" spans="21:23" ht="13" x14ac:dyDescent="0.15">
      <c r="U520" s="59"/>
      <c r="V520" s="59"/>
      <c r="W520" s="59"/>
    </row>
    <row r="521" spans="21:23" ht="13" x14ac:dyDescent="0.15">
      <c r="U521" s="59"/>
      <c r="V521" s="59"/>
      <c r="W521" s="59"/>
    </row>
    <row r="522" spans="21:23" ht="13" x14ac:dyDescent="0.15">
      <c r="U522" s="59"/>
      <c r="V522" s="59"/>
      <c r="W522" s="59"/>
    </row>
    <row r="523" spans="21:23" ht="13" x14ac:dyDescent="0.15">
      <c r="U523" s="59"/>
      <c r="V523" s="59"/>
      <c r="W523" s="59"/>
    </row>
    <row r="524" spans="21:23" ht="13" x14ac:dyDescent="0.15">
      <c r="U524" s="59"/>
      <c r="V524" s="59"/>
      <c r="W524" s="59"/>
    </row>
    <row r="525" spans="21:23" ht="13" x14ac:dyDescent="0.15">
      <c r="U525" s="59"/>
      <c r="V525" s="59"/>
      <c r="W525" s="59"/>
    </row>
    <row r="526" spans="21:23" ht="13" x14ac:dyDescent="0.15">
      <c r="U526" s="59"/>
      <c r="V526" s="59"/>
      <c r="W526" s="59"/>
    </row>
    <row r="527" spans="21:23" ht="13" x14ac:dyDescent="0.15">
      <c r="U527" s="59"/>
      <c r="V527" s="59"/>
      <c r="W527" s="59"/>
    </row>
    <row r="528" spans="21:23" ht="13" x14ac:dyDescent="0.15">
      <c r="U528" s="59"/>
      <c r="V528" s="59"/>
      <c r="W528" s="59"/>
    </row>
    <row r="529" spans="21:23" ht="13" x14ac:dyDescent="0.15">
      <c r="U529" s="59"/>
      <c r="V529" s="59"/>
      <c r="W529" s="59"/>
    </row>
    <row r="530" spans="21:23" ht="13" x14ac:dyDescent="0.15">
      <c r="U530" s="59"/>
      <c r="V530" s="59"/>
      <c r="W530" s="59"/>
    </row>
    <row r="531" spans="21:23" ht="13" x14ac:dyDescent="0.15">
      <c r="U531" s="59"/>
      <c r="V531" s="59"/>
      <c r="W531" s="59"/>
    </row>
    <row r="532" spans="21:23" ht="13" x14ac:dyDescent="0.15">
      <c r="U532" s="59"/>
      <c r="V532" s="59"/>
      <c r="W532" s="59"/>
    </row>
    <row r="533" spans="21:23" ht="13" x14ac:dyDescent="0.15">
      <c r="U533" s="59"/>
      <c r="V533" s="59"/>
      <c r="W533" s="59"/>
    </row>
    <row r="534" spans="21:23" ht="13" x14ac:dyDescent="0.15">
      <c r="U534" s="59"/>
      <c r="V534" s="59"/>
      <c r="W534" s="59"/>
    </row>
    <row r="535" spans="21:23" ht="13" x14ac:dyDescent="0.15">
      <c r="U535" s="59"/>
      <c r="V535" s="59"/>
      <c r="W535" s="59"/>
    </row>
    <row r="536" spans="21:23" ht="13" x14ac:dyDescent="0.15">
      <c r="U536" s="59"/>
      <c r="V536" s="59"/>
      <c r="W536" s="59"/>
    </row>
    <row r="537" spans="21:23" ht="13" x14ac:dyDescent="0.15">
      <c r="U537" s="59"/>
      <c r="V537" s="59"/>
      <c r="W537" s="59"/>
    </row>
    <row r="538" spans="21:23" ht="13" x14ac:dyDescent="0.15">
      <c r="U538" s="59"/>
      <c r="V538" s="59"/>
      <c r="W538" s="59"/>
    </row>
    <row r="539" spans="21:23" ht="13" x14ac:dyDescent="0.15">
      <c r="U539" s="59"/>
      <c r="V539" s="59"/>
      <c r="W539" s="59"/>
    </row>
    <row r="540" spans="21:23" ht="13" x14ac:dyDescent="0.15">
      <c r="U540" s="59"/>
      <c r="V540" s="59"/>
      <c r="W540" s="59"/>
    </row>
    <row r="541" spans="21:23" ht="13" x14ac:dyDescent="0.15">
      <c r="U541" s="59"/>
      <c r="V541" s="59"/>
      <c r="W541" s="59"/>
    </row>
    <row r="542" spans="21:23" ht="13" x14ac:dyDescent="0.15">
      <c r="U542" s="59"/>
      <c r="V542" s="59"/>
      <c r="W542" s="59"/>
    </row>
    <row r="543" spans="21:23" ht="13" x14ac:dyDescent="0.15">
      <c r="U543" s="59"/>
      <c r="V543" s="59"/>
      <c r="W543" s="59"/>
    </row>
    <row r="544" spans="21:23" ht="13" x14ac:dyDescent="0.15">
      <c r="U544" s="59"/>
      <c r="V544" s="59"/>
      <c r="W544" s="59"/>
    </row>
    <row r="545" spans="21:23" ht="13" x14ac:dyDescent="0.15">
      <c r="U545" s="59"/>
      <c r="V545" s="59"/>
      <c r="W545" s="59"/>
    </row>
    <row r="546" spans="21:23" ht="13" x14ac:dyDescent="0.15">
      <c r="U546" s="59"/>
      <c r="V546" s="59"/>
      <c r="W546" s="59"/>
    </row>
    <row r="547" spans="21:23" ht="13" x14ac:dyDescent="0.15">
      <c r="U547" s="59"/>
      <c r="V547" s="59"/>
      <c r="W547" s="59"/>
    </row>
    <row r="548" spans="21:23" ht="13" x14ac:dyDescent="0.15">
      <c r="U548" s="59"/>
      <c r="V548" s="59"/>
      <c r="W548" s="59"/>
    </row>
    <row r="549" spans="21:23" ht="13" x14ac:dyDescent="0.15">
      <c r="U549" s="59"/>
      <c r="V549" s="59"/>
      <c r="W549" s="59"/>
    </row>
    <row r="550" spans="21:23" ht="13" x14ac:dyDescent="0.15">
      <c r="U550" s="59"/>
      <c r="V550" s="59"/>
      <c r="W550" s="59"/>
    </row>
    <row r="551" spans="21:23" ht="13" x14ac:dyDescent="0.15">
      <c r="U551" s="59"/>
      <c r="V551" s="59"/>
      <c r="W551" s="59"/>
    </row>
    <row r="552" spans="21:23" ht="13" x14ac:dyDescent="0.15">
      <c r="U552" s="59"/>
      <c r="V552" s="59"/>
      <c r="W552" s="59"/>
    </row>
    <row r="553" spans="21:23" ht="13" x14ac:dyDescent="0.15">
      <c r="U553" s="59"/>
      <c r="V553" s="59"/>
      <c r="W553" s="59"/>
    </row>
    <row r="554" spans="21:23" ht="13" x14ac:dyDescent="0.15">
      <c r="U554" s="59"/>
      <c r="V554" s="59"/>
      <c r="W554" s="59"/>
    </row>
    <row r="555" spans="21:23" ht="13" x14ac:dyDescent="0.15">
      <c r="U555" s="59"/>
      <c r="V555" s="59"/>
      <c r="W555" s="59"/>
    </row>
    <row r="556" spans="21:23" ht="13" x14ac:dyDescent="0.15">
      <c r="U556" s="59"/>
      <c r="V556" s="59"/>
      <c r="W556" s="59"/>
    </row>
    <row r="557" spans="21:23" ht="13" x14ac:dyDescent="0.15">
      <c r="U557" s="59"/>
      <c r="V557" s="59"/>
      <c r="W557" s="59"/>
    </row>
    <row r="558" spans="21:23" ht="13" x14ac:dyDescent="0.15">
      <c r="U558" s="59"/>
      <c r="V558" s="59"/>
      <c r="W558" s="59"/>
    </row>
    <row r="559" spans="21:23" ht="13" x14ac:dyDescent="0.15">
      <c r="U559" s="59"/>
      <c r="V559" s="59"/>
      <c r="W559" s="59"/>
    </row>
    <row r="560" spans="21:23" ht="13" x14ac:dyDescent="0.15">
      <c r="U560" s="59"/>
      <c r="V560" s="59"/>
      <c r="W560" s="59"/>
    </row>
    <row r="561" spans="21:23" ht="13" x14ac:dyDescent="0.15">
      <c r="U561" s="59"/>
      <c r="V561" s="59"/>
      <c r="W561" s="59"/>
    </row>
    <row r="562" spans="21:23" ht="13" x14ac:dyDescent="0.15">
      <c r="U562" s="59"/>
      <c r="V562" s="59"/>
      <c r="W562" s="59"/>
    </row>
    <row r="563" spans="21:23" ht="13" x14ac:dyDescent="0.15">
      <c r="U563" s="59"/>
      <c r="V563" s="59"/>
      <c r="W563" s="59"/>
    </row>
    <row r="564" spans="21:23" ht="13" x14ac:dyDescent="0.15">
      <c r="U564" s="59"/>
      <c r="V564" s="59"/>
      <c r="W564" s="59"/>
    </row>
    <row r="565" spans="21:23" ht="13" x14ac:dyDescent="0.15">
      <c r="U565" s="59"/>
      <c r="V565" s="59"/>
      <c r="W565" s="59"/>
    </row>
    <row r="566" spans="21:23" ht="13" x14ac:dyDescent="0.15">
      <c r="U566" s="59"/>
      <c r="V566" s="59"/>
      <c r="W566" s="59"/>
    </row>
    <row r="567" spans="21:23" ht="13" x14ac:dyDescent="0.15">
      <c r="U567" s="59"/>
      <c r="V567" s="59"/>
      <c r="W567" s="59"/>
    </row>
    <row r="568" spans="21:23" ht="13" x14ac:dyDescent="0.15">
      <c r="U568" s="59"/>
      <c r="V568" s="59"/>
      <c r="W568" s="59"/>
    </row>
    <row r="569" spans="21:23" ht="13" x14ac:dyDescent="0.15">
      <c r="U569" s="59"/>
      <c r="V569" s="59"/>
      <c r="W569" s="59"/>
    </row>
    <row r="570" spans="21:23" ht="13" x14ac:dyDescent="0.15">
      <c r="U570" s="59"/>
      <c r="V570" s="59"/>
      <c r="W570" s="59"/>
    </row>
    <row r="571" spans="21:23" ht="13" x14ac:dyDescent="0.15">
      <c r="U571" s="59"/>
      <c r="V571" s="59"/>
      <c r="W571" s="59"/>
    </row>
    <row r="572" spans="21:23" ht="13" x14ac:dyDescent="0.15">
      <c r="U572" s="59"/>
      <c r="V572" s="59"/>
      <c r="W572" s="59"/>
    </row>
    <row r="573" spans="21:23" ht="13" x14ac:dyDescent="0.15">
      <c r="U573" s="59"/>
      <c r="V573" s="59"/>
      <c r="W573" s="59"/>
    </row>
    <row r="574" spans="21:23" ht="13" x14ac:dyDescent="0.15">
      <c r="U574" s="59"/>
      <c r="V574" s="59"/>
      <c r="W574" s="59"/>
    </row>
    <row r="575" spans="21:23" ht="13" x14ac:dyDescent="0.15">
      <c r="U575" s="59"/>
      <c r="V575" s="59"/>
      <c r="W575" s="59"/>
    </row>
    <row r="576" spans="21:23" ht="13" x14ac:dyDescent="0.15">
      <c r="U576" s="59"/>
      <c r="V576" s="59"/>
      <c r="W576" s="59"/>
    </row>
    <row r="577" spans="21:23" ht="13" x14ac:dyDescent="0.15">
      <c r="U577" s="59"/>
      <c r="V577" s="59"/>
      <c r="W577" s="59"/>
    </row>
    <row r="578" spans="21:23" ht="13" x14ac:dyDescent="0.15">
      <c r="U578" s="59"/>
      <c r="V578" s="59"/>
      <c r="W578" s="59"/>
    </row>
    <row r="579" spans="21:23" ht="13" x14ac:dyDescent="0.15">
      <c r="U579" s="59"/>
      <c r="V579" s="59"/>
      <c r="W579" s="59"/>
    </row>
    <row r="580" spans="21:23" ht="13" x14ac:dyDescent="0.15">
      <c r="U580" s="59"/>
      <c r="V580" s="59"/>
      <c r="W580" s="59"/>
    </row>
    <row r="581" spans="21:23" ht="13" x14ac:dyDescent="0.15">
      <c r="U581" s="59"/>
      <c r="V581" s="59"/>
      <c r="W581" s="59"/>
    </row>
    <row r="582" spans="21:23" ht="13" x14ac:dyDescent="0.15">
      <c r="U582" s="59"/>
      <c r="V582" s="59"/>
      <c r="W582" s="59"/>
    </row>
    <row r="583" spans="21:23" ht="13" x14ac:dyDescent="0.15">
      <c r="U583" s="59"/>
      <c r="V583" s="59"/>
      <c r="W583" s="59"/>
    </row>
    <row r="584" spans="21:23" ht="13" x14ac:dyDescent="0.15">
      <c r="U584" s="59"/>
      <c r="V584" s="59"/>
      <c r="W584" s="59"/>
    </row>
    <row r="585" spans="21:23" ht="13" x14ac:dyDescent="0.15">
      <c r="U585" s="59"/>
      <c r="V585" s="59"/>
      <c r="W585" s="59"/>
    </row>
    <row r="586" spans="21:23" ht="13" x14ac:dyDescent="0.15">
      <c r="U586" s="59"/>
      <c r="V586" s="59"/>
      <c r="W586" s="59"/>
    </row>
    <row r="587" spans="21:23" ht="13" x14ac:dyDescent="0.15">
      <c r="U587" s="59"/>
      <c r="V587" s="59"/>
      <c r="W587" s="59"/>
    </row>
    <row r="588" spans="21:23" ht="13" x14ac:dyDescent="0.15">
      <c r="U588" s="59"/>
      <c r="V588" s="59"/>
      <c r="W588" s="59"/>
    </row>
    <row r="589" spans="21:23" ht="13" x14ac:dyDescent="0.15">
      <c r="U589" s="59"/>
      <c r="V589" s="59"/>
      <c r="W589" s="59"/>
    </row>
    <row r="590" spans="21:23" ht="13" x14ac:dyDescent="0.15">
      <c r="U590" s="59"/>
      <c r="V590" s="59"/>
      <c r="W590" s="59"/>
    </row>
    <row r="591" spans="21:23" ht="13" x14ac:dyDescent="0.15">
      <c r="U591" s="59"/>
      <c r="V591" s="59"/>
      <c r="W591" s="59"/>
    </row>
    <row r="592" spans="21:23" ht="13" x14ac:dyDescent="0.15">
      <c r="U592" s="59"/>
      <c r="V592" s="59"/>
      <c r="W592" s="59"/>
    </row>
    <row r="593" spans="21:23" ht="13" x14ac:dyDescent="0.15">
      <c r="U593" s="59"/>
      <c r="V593" s="59"/>
      <c r="W593" s="59"/>
    </row>
    <row r="594" spans="21:23" ht="13" x14ac:dyDescent="0.15">
      <c r="U594" s="59"/>
      <c r="V594" s="59"/>
      <c r="W594" s="59"/>
    </row>
    <row r="595" spans="21:23" ht="13" x14ac:dyDescent="0.15">
      <c r="U595" s="59"/>
      <c r="V595" s="59"/>
      <c r="W595" s="59"/>
    </row>
    <row r="596" spans="21:23" ht="13" x14ac:dyDescent="0.15">
      <c r="U596" s="59"/>
      <c r="V596" s="59"/>
      <c r="W596" s="59"/>
    </row>
    <row r="597" spans="21:23" ht="13" x14ac:dyDescent="0.15">
      <c r="U597" s="59"/>
      <c r="V597" s="59"/>
      <c r="W597" s="59"/>
    </row>
    <row r="598" spans="21:23" ht="13" x14ac:dyDescent="0.15">
      <c r="U598" s="59"/>
      <c r="V598" s="59"/>
      <c r="W598" s="59"/>
    </row>
    <row r="599" spans="21:23" ht="13" x14ac:dyDescent="0.15">
      <c r="U599" s="59"/>
      <c r="V599" s="59"/>
      <c r="W599" s="59"/>
    </row>
    <row r="600" spans="21:23" ht="13" x14ac:dyDescent="0.15">
      <c r="U600" s="59"/>
      <c r="V600" s="59"/>
      <c r="W600" s="59"/>
    </row>
    <row r="601" spans="21:23" ht="13" x14ac:dyDescent="0.15">
      <c r="U601" s="59"/>
      <c r="V601" s="59"/>
      <c r="W601" s="59"/>
    </row>
    <row r="602" spans="21:23" ht="13" x14ac:dyDescent="0.15">
      <c r="U602" s="59"/>
      <c r="V602" s="59"/>
      <c r="W602" s="59"/>
    </row>
    <row r="603" spans="21:23" ht="13" x14ac:dyDescent="0.15">
      <c r="U603" s="59"/>
      <c r="V603" s="59"/>
      <c r="W603" s="59"/>
    </row>
    <row r="604" spans="21:23" ht="13" x14ac:dyDescent="0.15">
      <c r="U604" s="59"/>
      <c r="V604" s="59"/>
      <c r="W604" s="59"/>
    </row>
    <row r="605" spans="21:23" ht="13" x14ac:dyDescent="0.15">
      <c r="U605" s="59"/>
      <c r="V605" s="59"/>
      <c r="W605" s="59"/>
    </row>
    <row r="606" spans="21:23" ht="13" x14ac:dyDescent="0.15">
      <c r="U606" s="59"/>
      <c r="V606" s="59"/>
      <c r="W606" s="59"/>
    </row>
    <row r="607" spans="21:23" ht="13" x14ac:dyDescent="0.15">
      <c r="U607" s="59"/>
      <c r="V607" s="59"/>
      <c r="W607" s="59"/>
    </row>
    <row r="608" spans="21:23" ht="13" x14ac:dyDescent="0.15">
      <c r="U608" s="59"/>
      <c r="V608" s="59"/>
      <c r="W608" s="59"/>
    </row>
    <row r="609" spans="21:23" ht="13" x14ac:dyDescent="0.15">
      <c r="U609" s="59"/>
      <c r="V609" s="59"/>
      <c r="W609" s="59"/>
    </row>
    <row r="610" spans="21:23" ht="13" x14ac:dyDescent="0.15">
      <c r="U610" s="59"/>
      <c r="V610" s="59"/>
      <c r="W610" s="59"/>
    </row>
    <row r="611" spans="21:23" ht="13" x14ac:dyDescent="0.15">
      <c r="U611" s="59"/>
      <c r="V611" s="59"/>
      <c r="W611" s="59"/>
    </row>
    <row r="612" spans="21:23" ht="13" x14ac:dyDescent="0.15">
      <c r="U612" s="59"/>
      <c r="V612" s="59"/>
      <c r="W612" s="59"/>
    </row>
    <row r="613" spans="21:23" ht="13" x14ac:dyDescent="0.15">
      <c r="U613" s="59"/>
      <c r="V613" s="59"/>
      <c r="W613" s="59"/>
    </row>
    <row r="614" spans="21:23" ht="13" x14ac:dyDescent="0.15">
      <c r="U614" s="59"/>
      <c r="V614" s="59"/>
      <c r="W614" s="59"/>
    </row>
    <row r="615" spans="21:23" ht="13" x14ac:dyDescent="0.15">
      <c r="U615" s="59"/>
      <c r="V615" s="59"/>
      <c r="W615" s="59"/>
    </row>
    <row r="616" spans="21:23" ht="13" x14ac:dyDescent="0.15">
      <c r="U616" s="59"/>
      <c r="V616" s="59"/>
      <c r="W616" s="59"/>
    </row>
    <row r="617" spans="21:23" ht="13" x14ac:dyDescent="0.15">
      <c r="U617" s="59"/>
      <c r="V617" s="59"/>
      <c r="W617" s="59"/>
    </row>
    <row r="618" spans="21:23" ht="13" x14ac:dyDescent="0.15">
      <c r="U618" s="59"/>
      <c r="V618" s="59"/>
      <c r="W618" s="59"/>
    </row>
    <row r="619" spans="21:23" ht="13" x14ac:dyDescent="0.15">
      <c r="U619" s="59"/>
      <c r="V619" s="59"/>
      <c r="W619" s="59"/>
    </row>
    <row r="620" spans="21:23" ht="13" x14ac:dyDescent="0.15">
      <c r="U620" s="59"/>
      <c r="V620" s="59"/>
      <c r="W620" s="59"/>
    </row>
    <row r="621" spans="21:23" ht="13" x14ac:dyDescent="0.15">
      <c r="U621" s="59"/>
      <c r="V621" s="59"/>
      <c r="W621" s="59"/>
    </row>
    <row r="622" spans="21:23" ht="13" x14ac:dyDescent="0.15">
      <c r="U622" s="59"/>
      <c r="V622" s="59"/>
      <c r="W622" s="59"/>
    </row>
    <row r="623" spans="21:23" ht="13" x14ac:dyDescent="0.15">
      <c r="U623" s="59"/>
      <c r="V623" s="59"/>
      <c r="W623" s="59"/>
    </row>
    <row r="624" spans="21:23" ht="13" x14ac:dyDescent="0.15">
      <c r="U624" s="59"/>
      <c r="V624" s="59"/>
      <c r="W624" s="59"/>
    </row>
    <row r="625" spans="21:23" ht="13" x14ac:dyDescent="0.15">
      <c r="U625" s="59"/>
      <c r="V625" s="59"/>
      <c r="W625" s="59"/>
    </row>
    <row r="626" spans="21:23" ht="13" x14ac:dyDescent="0.15">
      <c r="U626" s="59"/>
      <c r="V626" s="59"/>
      <c r="W626" s="59"/>
    </row>
    <row r="627" spans="21:23" ht="13" x14ac:dyDescent="0.15">
      <c r="U627" s="59"/>
      <c r="V627" s="59"/>
      <c r="W627" s="59"/>
    </row>
    <row r="628" spans="21:23" ht="13" x14ac:dyDescent="0.15">
      <c r="U628" s="59"/>
      <c r="V628" s="59"/>
      <c r="W628" s="59"/>
    </row>
    <row r="629" spans="21:23" ht="13" x14ac:dyDescent="0.15">
      <c r="U629" s="59"/>
      <c r="V629" s="59"/>
      <c r="W629" s="59"/>
    </row>
    <row r="630" spans="21:23" ht="13" x14ac:dyDescent="0.15">
      <c r="U630" s="59"/>
      <c r="V630" s="59"/>
      <c r="W630" s="59"/>
    </row>
    <row r="631" spans="21:23" ht="13" x14ac:dyDescent="0.15">
      <c r="U631" s="59"/>
      <c r="V631" s="59"/>
      <c r="W631" s="59"/>
    </row>
    <row r="632" spans="21:23" ht="13" x14ac:dyDescent="0.15">
      <c r="U632" s="59"/>
      <c r="V632" s="59"/>
      <c r="W632" s="59"/>
    </row>
    <row r="633" spans="21:23" ht="13" x14ac:dyDescent="0.15">
      <c r="U633" s="59"/>
      <c r="V633" s="59"/>
      <c r="W633" s="59"/>
    </row>
    <row r="634" spans="21:23" ht="13" x14ac:dyDescent="0.15">
      <c r="U634" s="59"/>
      <c r="V634" s="59"/>
      <c r="W634" s="59"/>
    </row>
    <row r="635" spans="21:23" ht="13" x14ac:dyDescent="0.15">
      <c r="U635" s="59"/>
      <c r="V635" s="59"/>
      <c r="W635" s="59"/>
    </row>
    <row r="636" spans="21:23" ht="13" x14ac:dyDescent="0.15">
      <c r="U636" s="59"/>
      <c r="V636" s="59"/>
      <c r="W636" s="59"/>
    </row>
    <row r="637" spans="21:23" ht="13" x14ac:dyDescent="0.15">
      <c r="U637" s="59"/>
      <c r="V637" s="59"/>
      <c r="W637" s="59"/>
    </row>
    <row r="638" spans="21:23" ht="13" x14ac:dyDescent="0.15">
      <c r="U638" s="59"/>
      <c r="V638" s="59"/>
      <c r="W638" s="59"/>
    </row>
    <row r="639" spans="21:23" ht="13" x14ac:dyDescent="0.15">
      <c r="U639" s="59"/>
      <c r="V639" s="59"/>
      <c r="W639" s="59"/>
    </row>
    <row r="640" spans="21:23" ht="13" x14ac:dyDescent="0.15">
      <c r="U640" s="59"/>
      <c r="V640" s="59"/>
      <c r="W640" s="59"/>
    </row>
    <row r="641" spans="21:23" ht="13" x14ac:dyDescent="0.15">
      <c r="U641" s="59"/>
      <c r="V641" s="59"/>
      <c r="W641" s="59"/>
    </row>
    <row r="642" spans="21:23" ht="13" x14ac:dyDescent="0.15">
      <c r="U642" s="59"/>
      <c r="V642" s="59"/>
      <c r="W642" s="59"/>
    </row>
    <row r="643" spans="21:23" ht="13" x14ac:dyDescent="0.15">
      <c r="U643" s="59"/>
      <c r="V643" s="59"/>
      <c r="W643" s="59"/>
    </row>
    <row r="644" spans="21:23" ht="13" x14ac:dyDescent="0.15">
      <c r="U644" s="59"/>
      <c r="V644" s="59"/>
      <c r="W644" s="59"/>
    </row>
    <row r="645" spans="21:23" ht="13" x14ac:dyDescent="0.15">
      <c r="U645" s="59"/>
      <c r="V645" s="59"/>
      <c r="W645" s="59"/>
    </row>
    <row r="646" spans="21:23" ht="13" x14ac:dyDescent="0.15">
      <c r="U646" s="59"/>
      <c r="V646" s="59"/>
      <c r="W646" s="59"/>
    </row>
    <row r="647" spans="21:23" ht="13" x14ac:dyDescent="0.15">
      <c r="U647" s="59"/>
      <c r="V647" s="59"/>
      <c r="W647" s="59"/>
    </row>
    <row r="648" spans="21:23" ht="13" x14ac:dyDescent="0.15">
      <c r="U648" s="59"/>
      <c r="V648" s="59"/>
      <c r="W648" s="59"/>
    </row>
    <row r="649" spans="21:23" ht="13" x14ac:dyDescent="0.15">
      <c r="U649" s="59"/>
      <c r="V649" s="59"/>
      <c r="W649" s="59"/>
    </row>
    <row r="650" spans="21:23" ht="13" x14ac:dyDescent="0.15">
      <c r="U650" s="59"/>
      <c r="V650" s="59"/>
      <c r="W650" s="59"/>
    </row>
    <row r="651" spans="21:23" ht="13" x14ac:dyDescent="0.15">
      <c r="U651" s="59"/>
      <c r="V651" s="59"/>
      <c r="W651" s="59"/>
    </row>
    <row r="652" spans="21:23" ht="13" x14ac:dyDescent="0.15">
      <c r="U652" s="59"/>
      <c r="V652" s="59"/>
      <c r="W652" s="59"/>
    </row>
    <row r="653" spans="21:23" ht="13" x14ac:dyDescent="0.15">
      <c r="U653" s="59"/>
      <c r="V653" s="59"/>
      <c r="W653" s="59"/>
    </row>
    <row r="654" spans="21:23" ht="13" x14ac:dyDescent="0.15">
      <c r="U654" s="59"/>
      <c r="V654" s="59"/>
      <c r="W654" s="59"/>
    </row>
    <row r="655" spans="21:23" ht="13" x14ac:dyDescent="0.15">
      <c r="U655" s="59"/>
      <c r="V655" s="59"/>
      <c r="W655" s="59"/>
    </row>
    <row r="656" spans="21:23" ht="13" x14ac:dyDescent="0.15">
      <c r="U656" s="59"/>
      <c r="V656" s="59"/>
      <c r="W656" s="59"/>
    </row>
    <row r="657" spans="21:23" ht="13" x14ac:dyDescent="0.15">
      <c r="U657" s="59"/>
      <c r="V657" s="59"/>
      <c r="W657" s="59"/>
    </row>
    <row r="658" spans="21:23" ht="13" x14ac:dyDescent="0.15">
      <c r="U658" s="59"/>
      <c r="V658" s="59"/>
      <c r="W658" s="59"/>
    </row>
    <row r="659" spans="21:23" ht="13" x14ac:dyDescent="0.15">
      <c r="U659" s="59"/>
      <c r="V659" s="59"/>
      <c r="W659" s="59"/>
    </row>
    <row r="660" spans="21:23" ht="13" x14ac:dyDescent="0.15">
      <c r="U660" s="59"/>
      <c r="V660" s="59"/>
      <c r="W660" s="59"/>
    </row>
    <row r="661" spans="21:23" ht="13" x14ac:dyDescent="0.15">
      <c r="U661" s="59"/>
      <c r="V661" s="59"/>
      <c r="W661" s="59"/>
    </row>
    <row r="662" spans="21:23" ht="13" x14ac:dyDescent="0.15">
      <c r="U662" s="59"/>
      <c r="V662" s="59"/>
      <c r="W662" s="59"/>
    </row>
    <row r="663" spans="21:23" ht="13" x14ac:dyDescent="0.15">
      <c r="U663" s="59"/>
      <c r="V663" s="59"/>
      <c r="W663" s="59"/>
    </row>
    <row r="664" spans="21:23" ht="13" x14ac:dyDescent="0.15">
      <c r="U664" s="59"/>
      <c r="V664" s="59"/>
      <c r="W664" s="59"/>
    </row>
    <row r="665" spans="21:23" ht="13" x14ac:dyDescent="0.15">
      <c r="U665" s="59"/>
      <c r="V665" s="59"/>
      <c r="W665" s="59"/>
    </row>
    <row r="666" spans="21:23" ht="13" x14ac:dyDescent="0.15">
      <c r="U666" s="59"/>
      <c r="V666" s="59"/>
      <c r="W666" s="59"/>
    </row>
    <row r="667" spans="21:23" ht="13" x14ac:dyDescent="0.15">
      <c r="U667" s="59"/>
      <c r="V667" s="59"/>
      <c r="W667" s="59"/>
    </row>
    <row r="668" spans="21:23" ht="13" x14ac:dyDescent="0.15">
      <c r="U668" s="59"/>
      <c r="V668" s="59"/>
      <c r="W668" s="59"/>
    </row>
    <row r="669" spans="21:23" ht="13" x14ac:dyDescent="0.15">
      <c r="U669" s="59"/>
      <c r="V669" s="59"/>
      <c r="W669" s="59"/>
    </row>
    <row r="670" spans="21:23" ht="13" x14ac:dyDescent="0.15">
      <c r="U670" s="59"/>
      <c r="V670" s="59"/>
      <c r="W670" s="59"/>
    </row>
    <row r="671" spans="21:23" ht="13" x14ac:dyDescent="0.15">
      <c r="U671" s="59"/>
      <c r="V671" s="59"/>
      <c r="W671" s="59"/>
    </row>
    <row r="672" spans="21:23" ht="13" x14ac:dyDescent="0.15">
      <c r="U672" s="59"/>
      <c r="V672" s="59"/>
      <c r="W672" s="59"/>
    </row>
    <row r="673" spans="21:23" ht="13" x14ac:dyDescent="0.15">
      <c r="U673" s="59"/>
      <c r="V673" s="59"/>
      <c r="W673" s="59"/>
    </row>
    <row r="674" spans="21:23" ht="13" x14ac:dyDescent="0.15">
      <c r="U674" s="59"/>
      <c r="V674" s="59"/>
      <c r="W674" s="59"/>
    </row>
    <row r="675" spans="21:23" ht="13" x14ac:dyDescent="0.15">
      <c r="U675" s="59"/>
      <c r="V675" s="59"/>
      <c r="W675" s="59"/>
    </row>
    <row r="676" spans="21:23" ht="13" x14ac:dyDescent="0.15">
      <c r="U676" s="59"/>
      <c r="V676" s="59"/>
      <c r="W676" s="59"/>
    </row>
    <row r="677" spans="21:23" ht="13" x14ac:dyDescent="0.15">
      <c r="U677" s="59"/>
      <c r="V677" s="59"/>
      <c r="W677" s="59"/>
    </row>
    <row r="678" spans="21:23" ht="13" x14ac:dyDescent="0.15">
      <c r="U678" s="59"/>
      <c r="V678" s="59"/>
      <c r="W678" s="59"/>
    </row>
    <row r="679" spans="21:23" ht="13" x14ac:dyDescent="0.15">
      <c r="U679" s="59"/>
      <c r="V679" s="59"/>
      <c r="W679" s="59"/>
    </row>
    <row r="680" spans="21:23" ht="13" x14ac:dyDescent="0.15">
      <c r="U680" s="59"/>
      <c r="V680" s="59"/>
      <c r="W680" s="59"/>
    </row>
    <row r="681" spans="21:23" ht="13" x14ac:dyDescent="0.15">
      <c r="U681" s="59"/>
      <c r="V681" s="59"/>
      <c r="W681" s="59"/>
    </row>
    <row r="682" spans="21:23" ht="13" x14ac:dyDescent="0.15">
      <c r="U682" s="59"/>
      <c r="V682" s="59"/>
      <c r="W682" s="59"/>
    </row>
    <row r="683" spans="21:23" ht="13" x14ac:dyDescent="0.15">
      <c r="U683" s="59"/>
      <c r="V683" s="59"/>
      <c r="W683" s="59"/>
    </row>
    <row r="684" spans="21:23" ht="13" x14ac:dyDescent="0.15">
      <c r="U684" s="59"/>
      <c r="V684" s="59"/>
      <c r="W684" s="59"/>
    </row>
    <row r="685" spans="21:23" ht="13" x14ac:dyDescent="0.15">
      <c r="U685" s="59"/>
      <c r="V685" s="59"/>
      <c r="W685" s="59"/>
    </row>
    <row r="686" spans="21:23" ht="13" x14ac:dyDescent="0.15">
      <c r="U686" s="59"/>
      <c r="V686" s="59"/>
      <c r="W686" s="59"/>
    </row>
    <row r="687" spans="21:23" ht="13" x14ac:dyDescent="0.15">
      <c r="U687" s="59"/>
      <c r="V687" s="59"/>
      <c r="W687" s="59"/>
    </row>
    <row r="688" spans="21:23" ht="13" x14ac:dyDescent="0.15">
      <c r="U688" s="59"/>
      <c r="V688" s="59"/>
      <c r="W688" s="59"/>
    </row>
    <row r="689" spans="21:23" ht="13" x14ac:dyDescent="0.15">
      <c r="U689" s="59"/>
      <c r="V689" s="59"/>
      <c r="W689" s="59"/>
    </row>
    <row r="690" spans="21:23" ht="13" x14ac:dyDescent="0.15">
      <c r="U690" s="59"/>
      <c r="V690" s="59"/>
      <c r="W690" s="59"/>
    </row>
    <row r="691" spans="21:23" ht="13" x14ac:dyDescent="0.15">
      <c r="U691" s="59"/>
      <c r="V691" s="59"/>
      <c r="W691" s="59"/>
    </row>
    <row r="692" spans="21:23" ht="13" x14ac:dyDescent="0.15">
      <c r="U692" s="59"/>
      <c r="V692" s="59"/>
      <c r="W692" s="59"/>
    </row>
    <row r="693" spans="21:23" ht="13" x14ac:dyDescent="0.15">
      <c r="U693" s="59"/>
      <c r="V693" s="59"/>
      <c r="W693" s="59"/>
    </row>
    <row r="694" spans="21:23" ht="13" x14ac:dyDescent="0.15">
      <c r="U694" s="59"/>
      <c r="V694" s="59"/>
      <c r="W694" s="59"/>
    </row>
    <row r="695" spans="21:23" ht="13" x14ac:dyDescent="0.15">
      <c r="U695" s="59"/>
      <c r="V695" s="59"/>
      <c r="W695" s="59"/>
    </row>
    <row r="696" spans="21:23" ht="13" x14ac:dyDescent="0.15">
      <c r="U696" s="59"/>
      <c r="V696" s="59"/>
      <c r="W696" s="59"/>
    </row>
    <row r="697" spans="21:23" ht="13" x14ac:dyDescent="0.15">
      <c r="U697" s="59"/>
      <c r="V697" s="59"/>
      <c r="W697" s="59"/>
    </row>
    <row r="698" spans="21:23" ht="13" x14ac:dyDescent="0.15">
      <c r="U698" s="59"/>
      <c r="V698" s="59"/>
      <c r="W698" s="59"/>
    </row>
    <row r="699" spans="21:23" ht="13" x14ac:dyDescent="0.15">
      <c r="U699" s="59"/>
      <c r="V699" s="59"/>
      <c r="W699" s="59"/>
    </row>
    <row r="700" spans="21:23" ht="13" x14ac:dyDescent="0.15">
      <c r="U700" s="59"/>
      <c r="V700" s="59"/>
      <c r="W700" s="59"/>
    </row>
    <row r="701" spans="21:23" ht="13" x14ac:dyDescent="0.15">
      <c r="U701" s="59"/>
      <c r="V701" s="59"/>
      <c r="W701" s="59"/>
    </row>
    <row r="702" spans="21:23" ht="13" x14ac:dyDescent="0.15">
      <c r="U702" s="59"/>
      <c r="V702" s="59"/>
      <c r="W702" s="59"/>
    </row>
    <row r="703" spans="21:23" ht="13" x14ac:dyDescent="0.15">
      <c r="U703" s="59"/>
      <c r="V703" s="59"/>
      <c r="W703" s="59"/>
    </row>
    <row r="704" spans="21:23" ht="13" x14ac:dyDescent="0.15">
      <c r="U704" s="59"/>
      <c r="V704" s="59"/>
      <c r="W704" s="59"/>
    </row>
    <row r="705" spans="21:23" ht="13" x14ac:dyDescent="0.15">
      <c r="U705" s="59"/>
      <c r="V705" s="59"/>
      <c r="W705" s="59"/>
    </row>
    <row r="706" spans="21:23" ht="13" x14ac:dyDescent="0.15">
      <c r="U706" s="59"/>
      <c r="V706" s="59"/>
      <c r="W706" s="59"/>
    </row>
    <row r="707" spans="21:23" ht="13" x14ac:dyDescent="0.15">
      <c r="U707" s="59"/>
      <c r="V707" s="59"/>
      <c r="W707" s="59"/>
    </row>
    <row r="708" spans="21:23" ht="13" x14ac:dyDescent="0.15">
      <c r="U708" s="59"/>
      <c r="V708" s="59"/>
      <c r="W708" s="59"/>
    </row>
    <row r="709" spans="21:23" ht="13" x14ac:dyDescent="0.15">
      <c r="U709" s="59"/>
      <c r="V709" s="59"/>
      <c r="W709" s="59"/>
    </row>
    <row r="710" spans="21:23" ht="13" x14ac:dyDescent="0.15">
      <c r="U710" s="59"/>
      <c r="V710" s="59"/>
      <c r="W710" s="59"/>
    </row>
    <row r="711" spans="21:23" ht="13" x14ac:dyDescent="0.15">
      <c r="U711" s="59"/>
      <c r="V711" s="59"/>
      <c r="W711" s="59"/>
    </row>
    <row r="712" spans="21:23" ht="13" x14ac:dyDescent="0.15">
      <c r="U712" s="59"/>
      <c r="V712" s="59"/>
      <c r="W712" s="59"/>
    </row>
    <row r="713" spans="21:23" ht="13" x14ac:dyDescent="0.15">
      <c r="U713" s="59"/>
      <c r="V713" s="59"/>
      <c r="W713" s="59"/>
    </row>
    <row r="714" spans="21:23" ht="13" x14ac:dyDescent="0.15">
      <c r="U714" s="59"/>
      <c r="V714" s="59"/>
      <c r="W714" s="59"/>
    </row>
    <row r="715" spans="21:23" ht="13" x14ac:dyDescent="0.15">
      <c r="U715" s="59"/>
      <c r="V715" s="59"/>
      <c r="W715" s="59"/>
    </row>
    <row r="716" spans="21:23" ht="13" x14ac:dyDescent="0.15">
      <c r="U716" s="59"/>
      <c r="V716" s="59"/>
      <c r="W716" s="59"/>
    </row>
    <row r="717" spans="21:23" ht="13" x14ac:dyDescent="0.15">
      <c r="U717" s="59"/>
      <c r="V717" s="59"/>
      <c r="W717" s="59"/>
    </row>
    <row r="718" spans="21:23" ht="13" x14ac:dyDescent="0.15">
      <c r="U718" s="59"/>
      <c r="V718" s="59"/>
      <c r="W718" s="59"/>
    </row>
    <row r="719" spans="21:23" ht="13" x14ac:dyDescent="0.15">
      <c r="U719" s="59"/>
      <c r="V719" s="59"/>
      <c r="W719" s="59"/>
    </row>
    <row r="720" spans="21:23" ht="13" x14ac:dyDescent="0.15">
      <c r="U720" s="59"/>
      <c r="V720" s="59"/>
      <c r="W720" s="59"/>
    </row>
    <row r="721" spans="21:23" ht="13" x14ac:dyDescent="0.15">
      <c r="U721" s="59"/>
      <c r="V721" s="59"/>
      <c r="W721" s="59"/>
    </row>
    <row r="722" spans="21:23" ht="13" x14ac:dyDescent="0.15">
      <c r="U722" s="59"/>
      <c r="V722" s="59"/>
      <c r="W722" s="59"/>
    </row>
    <row r="723" spans="21:23" ht="13" x14ac:dyDescent="0.15">
      <c r="U723" s="59"/>
      <c r="V723" s="59"/>
      <c r="W723" s="59"/>
    </row>
    <row r="724" spans="21:23" ht="13" x14ac:dyDescent="0.15">
      <c r="U724" s="59"/>
      <c r="V724" s="59"/>
      <c r="W724" s="59"/>
    </row>
    <row r="725" spans="21:23" ht="13" x14ac:dyDescent="0.15">
      <c r="U725" s="59"/>
      <c r="V725" s="59"/>
      <c r="W725" s="59"/>
    </row>
    <row r="726" spans="21:23" ht="13" x14ac:dyDescent="0.15">
      <c r="U726" s="59"/>
      <c r="V726" s="59"/>
      <c r="W726" s="59"/>
    </row>
    <row r="727" spans="21:23" ht="13" x14ac:dyDescent="0.15">
      <c r="U727" s="59"/>
      <c r="V727" s="59"/>
      <c r="W727" s="59"/>
    </row>
    <row r="728" spans="21:23" ht="13" x14ac:dyDescent="0.15">
      <c r="U728" s="59"/>
      <c r="V728" s="59"/>
      <c r="W728" s="59"/>
    </row>
    <row r="729" spans="21:23" ht="13" x14ac:dyDescent="0.15">
      <c r="U729" s="59"/>
      <c r="V729" s="59"/>
      <c r="W729" s="59"/>
    </row>
    <row r="730" spans="21:23" ht="13" x14ac:dyDescent="0.15">
      <c r="U730" s="59"/>
      <c r="V730" s="59"/>
      <c r="W730" s="59"/>
    </row>
    <row r="731" spans="21:23" ht="13" x14ac:dyDescent="0.15">
      <c r="U731" s="59"/>
      <c r="V731" s="59"/>
      <c r="W731" s="59"/>
    </row>
    <row r="732" spans="21:23" ht="13" x14ac:dyDescent="0.15">
      <c r="U732" s="59"/>
      <c r="V732" s="59"/>
      <c r="W732" s="59"/>
    </row>
    <row r="733" spans="21:23" ht="13" x14ac:dyDescent="0.15">
      <c r="U733" s="59"/>
      <c r="V733" s="59"/>
      <c r="W733" s="59"/>
    </row>
    <row r="734" spans="21:23" ht="13" x14ac:dyDescent="0.15">
      <c r="U734" s="59"/>
      <c r="V734" s="59"/>
      <c r="W734" s="59"/>
    </row>
    <row r="735" spans="21:23" ht="13" x14ac:dyDescent="0.15">
      <c r="U735" s="59"/>
      <c r="V735" s="59"/>
      <c r="W735" s="59"/>
    </row>
    <row r="736" spans="21:23" ht="13" x14ac:dyDescent="0.15">
      <c r="U736" s="59"/>
      <c r="V736" s="59"/>
      <c r="W736" s="59"/>
    </row>
    <row r="737" spans="21:23" ht="13" x14ac:dyDescent="0.15">
      <c r="U737" s="59"/>
      <c r="V737" s="59"/>
      <c r="W737" s="59"/>
    </row>
    <row r="738" spans="21:23" ht="13" x14ac:dyDescent="0.15">
      <c r="U738" s="59"/>
      <c r="V738" s="59"/>
      <c r="W738" s="59"/>
    </row>
    <row r="739" spans="21:23" ht="13" x14ac:dyDescent="0.15">
      <c r="U739" s="59"/>
      <c r="V739" s="59"/>
      <c r="W739" s="59"/>
    </row>
    <row r="740" spans="21:23" ht="13" x14ac:dyDescent="0.15">
      <c r="U740" s="59"/>
      <c r="V740" s="59"/>
      <c r="W740" s="59"/>
    </row>
    <row r="741" spans="21:23" ht="13" x14ac:dyDescent="0.15">
      <c r="U741" s="59"/>
      <c r="V741" s="59"/>
      <c r="W741" s="59"/>
    </row>
    <row r="742" spans="21:23" ht="13" x14ac:dyDescent="0.15">
      <c r="U742" s="59"/>
      <c r="V742" s="59"/>
      <c r="W742" s="59"/>
    </row>
    <row r="743" spans="21:23" ht="13" x14ac:dyDescent="0.15">
      <c r="U743" s="59"/>
      <c r="V743" s="59"/>
      <c r="W743" s="59"/>
    </row>
    <row r="744" spans="21:23" ht="13" x14ac:dyDescent="0.15">
      <c r="U744" s="59"/>
      <c r="V744" s="59"/>
      <c r="W744" s="59"/>
    </row>
    <row r="745" spans="21:23" ht="13" x14ac:dyDescent="0.15">
      <c r="U745" s="59"/>
      <c r="V745" s="59"/>
      <c r="W745" s="59"/>
    </row>
    <row r="746" spans="21:23" ht="13" x14ac:dyDescent="0.15">
      <c r="U746" s="59"/>
      <c r="V746" s="59"/>
      <c r="W746" s="59"/>
    </row>
    <row r="747" spans="21:23" ht="13" x14ac:dyDescent="0.15">
      <c r="U747" s="59"/>
      <c r="V747" s="59"/>
      <c r="W747" s="59"/>
    </row>
    <row r="748" spans="21:23" ht="13" x14ac:dyDescent="0.15">
      <c r="U748" s="59"/>
      <c r="V748" s="59"/>
      <c r="W748" s="59"/>
    </row>
    <row r="749" spans="21:23" ht="13" x14ac:dyDescent="0.15">
      <c r="U749" s="59"/>
      <c r="V749" s="59"/>
      <c r="W749" s="59"/>
    </row>
    <row r="750" spans="21:23" ht="13" x14ac:dyDescent="0.15">
      <c r="U750" s="59"/>
      <c r="V750" s="59"/>
      <c r="W750" s="59"/>
    </row>
    <row r="751" spans="21:23" ht="13" x14ac:dyDescent="0.15">
      <c r="U751" s="59"/>
      <c r="V751" s="59"/>
      <c r="W751" s="59"/>
    </row>
    <row r="752" spans="21:23" ht="13" x14ac:dyDescent="0.15">
      <c r="U752" s="59"/>
      <c r="V752" s="59"/>
      <c r="W752" s="59"/>
    </row>
    <row r="753" spans="21:23" ht="13" x14ac:dyDescent="0.15">
      <c r="U753" s="59"/>
      <c r="V753" s="59"/>
      <c r="W753" s="59"/>
    </row>
    <row r="754" spans="21:23" ht="13" x14ac:dyDescent="0.15">
      <c r="U754" s="59"/>
      <c r="V754" s="59"/>
      <c r="W754" s="59"/>
    </row>
    <row r="755" spans="21:23" ht="13" x14ac:dyDescent="0.15">
      <c r="U755" s="59"/>
      <c r="V755" s="59"/>
      <c r="W755" s="59"/>
    </row>
    <row r="756" spans="21:23" ht="13" x14ac:dyDescent="0.15">
      <c r="U756" s="59"/>
      <c r="V756" s="59"/>
      <c r="W756" s="59"/>
    </row>
    <row r="757" spans="21:23" ht="13" x14ac:dyDescent="0.15">
      <c r="U757" s="59"/>
      <c r="V757" s="59"/>
      <c r="W757" s="59"/>
    </row>
    <row r="758" spans="21:23" ht="13" x14ac:dyDescent="0.15">
      <c r="U758" s="59"/>
      <c r="V758" s="59"/>
      <c r="W758" s="59"/>
    </row>
    <row r="759" spans="21:23" ht="13" x14ac:dyDescent="0.15">
      <c r="U759" s="59"/>
      <c r="V759" s="59"/>
      <c r="W759" s="59"/>
    </row>
    <row r="760" spans="21:23" ht="13" x14ac:dyDescent="0.15">
      <c r="U760" s="59"/>
      <c r="V760" s="59"/>
      <c r="W760" s="59"/>
    </row>
    <row r="761" spans="21:23" ht="13" x14ac:dyDescent="0.15">
      <c r="U761" s="59"/>
      <c r="V761" s="59"/>
      <c r="W761" s="59"/>
    </row>
    <row r="762" spans="21:23" ht="13" x14ac:dyDescent="0.15">
      <c r="U762" s="59"/>
      <c r="V762" s="59"/>
      <c r="W762" s="59"/>
    </row>
    <row r="763" spans="21:23" ht="13" x14ac:dyDescent="0.15">
      <c r="U763" s="59"/>
      <c r="V763" s="59"/>
      <c r="W763" s="59"/>
    </row>
    <row r="764" spans="21:23" ht="13" x14ac:dyDescent="0.15">
      <c r="U764" s="59"/>
      <c r="V764" s="59"/>
      <c r="W764" s="59"/>
    </row>
    <row r="765" spans="21:23" ht="13" x14ac:dyDescent="0.15">
      <c r="U765" s="59"/>
      <c r="V765" s="59"/>
      <c r="W765" s="59"/>
    </row>
    <row r="766" spans="21:23" ht="13" x14ac:dyDescent="0.15">
      <c r="U766" s="59"/>
      <c r="V766" s="59"/>
      <c r="W766" s="59"/>
    </row>
    <row r="767" spans="21:23" ht="13" x14ac:dyDescent="0.15">
      <c r="U767" s="59"/>
      <c r="V767" s="59"/>
      <c r="W767" s="59"/>
    </row>
    <row r="768" spans="21:23" ht="13" x14ac:dyDescent="0.15">
      <c r="U768" s="59"/>
      <c r="V768" s="59"/>
      <c r="W768" s="59"/>
    </row>
    <row r="769" spans="21:23" ht="13" x14ac:dyDescent="0.15">
      <c r="U769" s="59"/>
      <c r="V769" s="59"/>
      <c r="W769" s="59"/>
    </row>
    <row r="770" spans="21:23" ht="13" x14ac:dyDescent="0.15">
      <c r="U770" s="59"/>
      <c r="V770" s="59"/>
      <c r="W770" s="59"/>
    </row>
    <row r="771" spans="21:23" ht="13" x14ac:dyDescent="0.15">
      <c r="U771" s="59"/>
      <c r="V771" s="59"/>
      <c r="W771" s="59"/>
    </row>
    <row r="772" spans="21:23" ht="13" x14ac:dyDescent="0.15">
      <c r="U772" s="59"/>
      <c r="V772" s="59"/>
      <c r="W772" s="59"/>
    </row>
    <row r="773" spans="21:23" ht="13" x14ac:dyDescent="0.15">
      <c r="U773" s="59"/>
      <c r="V773" s="59"/>
      <c r="W773" s="59"/>
    </row>
    <row r="774" spans="21:23" ht="13" x14ac:dyDescent="0.15">
      <c r="U774" s="59"/>
      <c r="V774" s="59"/>
      <c r="W774" s="59"/>
    </row>
    <row r="775" spans="21:23" ht="13" x14ac:dyDescent="0.15">
      <c r="U775" s="59"/>
      <c r="V775" s="59"/>
      <c r="W775" s="59"/>
    </row>
    <row r="776" spans="21:23" ht="13" x14ac:dyDescent="0.15">
      <c r="U776" s="59"/>
      <c r="V776" s="59"/>
      <c r="W776" s="59"/>
    </row>
    <row r="777" spans="21:23" ht="13" x14ac:dyDescent="0.15">
      <c r="U777" s="59"/>
      <c r="V777" s="59"/>
      <c r="W777" s="59"/>
    </row>
    <row r="778" spans="21:23" ht="13" x14ac:dyDescent="0.15">
      <c r="U778" s="59"/>
      <c r="V778" s="59"/>
      <c r="W778" s="59"/>
    </row>
    <row r="779" spans="21:23" ht="13" x14ac:dyDescent="0.15">
      <c r="U779" s="59"/>
      <c r="V779" s="59"/>
      <c r="W779" s="59"/>
    </row>
    <row r="780" spans="21:23" ht="13" x14ac:dyDescent="0.15">
      <c r="U780" s="59"/>
      <c r="V780" s="59"/>
      <c r="W780" s="59"/>
    </row>
    <row r="781" spans="21:23" ht="13" x14ac:dyDescent="0.15">
      <c r="U781" s="59"/>
      <c r="V781" s="59"/>
      <c r="W781" s="59"/>
    </row>
    <row r="782" spans="21:23" ht="13" x14ac:dyDescent="0.15">
      <c r="U782" s="59"/>
      <c r="V782" s="59"/>
      <c r="W782" s="59"/>
    </row>
    <row r="783" spans="21:23" ht="13" x14ac:dyDescent="0.15">
      <c r="U783" s="59"/>
      <c r="V783" s="59"/>
      <c r="W783" s="59"/>
    </row>
    <row r="784" spans="21:23" ht="13" x14ac:dyDescent="0.15">
      <c r="U784" s="59"/>
      <c r="V784" s="59"/>
      <c r="W784" s="59"/>
    </row>
    <row r="785" spans="21:23" ht="13" x14ac:dyDescent="0.15">
      <c r="U785" s="59"/>
      <c r="V785" s="59"/>
      <c r="W785" s="59"/>
    </row>
    <row r="786" spans="21:23" ht="13" x14ac:dyDescent="0.15">
      <c r="U786" s="59"/>
      <c r="V786" s="59"/>
      <c r="W786" s="59"/>
    </row>
    <row r="787" spans="21:23" ht="13" x14ac:dyDescent="0.15">
      <c r="U787" s="59"/>
      <c r="V787" s="59"/>
      <c r="W787" s="59"/>
    </row>
    <row r="788" spans="21:23" ht="13" x14ac:dyDescent="0.15">
      <c r="U788" s="59"/>
      <c r="V788" s="59"/>
      <c r="W788" s="59"/>
    </row>
    <row r="789" spans="21:23" ht="13" x14ac:dyDescent="0.15">
      <c r="U789" s="59"/>
      <c r="V789" s="59"/>
      <c r="W789" s="59"/>
    </row>
    <row r="790" spans="21:23" ht="13" x14ac:dyDescent="0.15">
      <c r="U790" s="59"/>
      <c r="V790" s="59"/>
      <c r="W790" s="59"/>
    </row>
    <row r="791" spans="21:23" ht="13" x14ac:dyDescent="0.15">
      <c r="U791" s="59"/>
      <c r="V791" s="59"/>
      <c r="W791" s="59"/>
    </row>
    <row r="792" spans="21:23" ht="13" x14ac:dyDescent="0.15">
      <c r="U792" s="59"/>
      <c r="V792" s="59"/>
      <c r="W792" s="59"/>
    </row>
    <row r="793" spans="21:23" ht="13" x14ac:dyDescent="0.15">
      <c r="U793" s="59"/>
      <c r="V793" s="59"/>
      <c r="W793" s="59"/>
    </row>
    <row r="794" spans="21:23" ht="13" x14ac:dyDescent="0.15">
      <c r="U794" s="59"/>
      <c r="V794" s="59"/>
      <c r="W794" s="59"/>
    </row>
    <row r="795" spans="21:23" ht="13" x14ac:dyDescent="0.15">
      <c r="U795" s="59"/>
      <c r="V795" s="59"/>
      <c r="W795" s="59"/>
    </row>
    <row r="796" spans="21:23" ht="13" x14ac:dyDescent="0.15">
      <c r="U796" s="59"/>
      <c r="V796" s="59"/>
      <c r="W796" s="59"/>
    </row>
    <row r="797" spans="21:23" ht="13" x14ac:dyDescent="0.15">
      <c r="U797" s="59"/>
      <c r="V797" s="59"/>
      <c r="W797" s="59"/>
    </row>
    <row r="798" spans="21:23" ht="13" x14ac:dyDescent="0.15">
      <c r="U798" s="59"/>
      <c r="V798" s="59"/>
      <c r="W798" s="59"/>
    </row>
    <row r="799" spans="21:23" ht="13" x14ac:dyDescent="0.15">
      <c r="U799" s="59"/>
      <c r="V799" s="59"/>
      <c r="W799" s="59"/>
    </row>
    <row r="800" spans="21:23" ht="13" x14ac:dyDescent="0.15">
      <c r="U800" s="59"/>
      <c r="V800" s="59"/>
      <c r="W800" s="59"/>
    </row>
    <row r="801" spans="21:23" ht="13" x14ac:dyDescent="0.15">
      <c r="U801" s="59"/>
      <c r="V801" s="59"/>
      <c r="W801" s="59"/>
    </row>
    <row r="802" spans="21:23" ht="13" x14ac:dyDescent="0.15">
      <c r="U802" s="59"/>
      <c r="V802" s="59"/>
      <c r="W802" s="59"/>
    </row>
    <row r="803" spans="21:23" ht="13" x14ac:dyDescent="0.15">
      <c r="U803" s="59"/>
      <c r="V803" s="59"/>
      <c r="W803" s="59"/>
    </row>
    <row r="804" spans="21:23" ht="13" x14ac:dyDescent="0.15">
      <c r="U804" s="59"/>
      <c r="V804" s="59"/>
      <c r="W804" s="59"/>
    </row>
    <row r="805" spans="21:23" ht="13" x14ac:dyDescent="0.15">
      <c r="U805" s="59"/>
      <c r="V805" s="59"/>
      <c r="W805" s="59"/>
    </row>
    <row r="806" spans="21:23" ht="13" x14ac:dyDescent="0.15">
      <c r="U806" s="59"/>
      <c r="V806" s="59"/>
      <c r="W806" s="59"/>
    </row>
    <row r="807" spans="21:23" ht="13" x14ac:dyDescent="0.15">
      <c r="U807" s="59"/>
      <c r="V807" s="59"/>
      <c r="W807" s="59"/>
    </row>
    <row r="808" spans="21:23" ht="13" x14ac:dyDescent="0.15">
      <c r="U808" s="59"/>
      <c r="V808" s="59"/>
      <c r="W808" s="59"/>
    </row>
    <row r="809" spans="21:23" ht="13" x14ac:dyDescent="0.15">
      <c r="U809" s="59"/>
      <c r="V809" s="59"/>
      <c r="W809" s="59"/>
    </row>
    <row r="810" spans="21:23" ht="13" x14ac:dyDescent="0.15">
      <c r="U810" s="59"/>
      <c r="V810" s="59"/>
      <c r="W810" s="59"/>
    </row>
    <row r="811" spans="21:23" ht="13" x14ac:dyDescent="0.15">
      <c r="U811" s="59"/>
      <c r="V811" s="59"/>
      <c r="W811" s="59"/>
    </row>
    <row r="812" spans="21:23" ht="13" x14ac:dyDescent="0.15">
      <c r="U812" s="59"/>
      <c r="V812" s="59"/>
      <c r="W812" s="59"/>
    </row>
    <row r="813" spans="21:23" ht="13" x14ac:dyDescent="0.15">
      <c r="U813" s="59"/>
      <c r="V813" s="59"/>
      <c r="W813" s="59"/>
    </row>
    <row r="814" spans="21:23" ht="13" x14ac:dyDescent="0.15">
      <c r="U814" s="59"/>
      <c r="V814" s="59"/>
      <c r="W814" s="59"/>
    </row>
    <row r="815" spans="21:23" ht="13" x14ac:dyDescent="0.15">
      <c r="U815" s="59"/>
      <c r="V815" s="59"/>
      <c r="W815" s="59"/>
    </row>
    <row r="816" spans="21:23" ht="13" x14ac:dyDescent="0.15">
      <c r="U816" s="59"/>
      <c r="V816" s="59"/>
      <c r="W816" s="59"/>
    </row>
    <row r="817" spans="21:23" ht="13" x14ac:dyDescent="0.15">
      <c r="U817" s="59"/>
      <c r="V817" s="59"/>
      <c r="W817" s="59"/>
    </row>
    <row r="818" spans="21:23" ht="13" x14ac:dyDescent="0.15">
      <c r="U818" s="59"/>
      <c r="V818" s="59"/>
      <c r="W818" s="59"/>
    </row>
    <row r="819" spans="21:23" ht="13" x14ac:dyDescent="0.15">
      <c r="U819" s="59"/>
      <c r="V819" s="59"/>
      <c r="W819" s="59"/>
    </row>
    <row r="820" spans="21:23" ht="13" x14ac:dyDescent="0.15">
      <c r="U820" s="59"/>
      <c r="V820" s="59"/>
      <c r="W820" s="59"/>
    </row>
    <row r="821" spans="21:23" ht="13" x14ac:dyDescent="0.15">
      <c r="U821" s="59"/>
      <c r="V821" s="59"/>
      <c r="W821" s="59"/>
    </row>
    <row r="822" spans="21:23" ht="13" x14ac:dyDescent="0.15">
      <c r="U822" s="59"/>
      <c r="V822" s="59"/>
      <c r="W822" s="59"/>
    </row>
    <row r="823" spans="21:23" ht="13" x14ac:dyDescent="0.15">
      <c r="U823" s="59"/>
      <c r="V823" s="59"/>
      <c r="W823" s="59"/>
    </row>
    <row r="824" spans="21:23" ht="13" x14ac:dyDescent="0.15">
      <c r="U824" s="59"/>
      <c r="V824" s="59"/>
      <c r="W824" s="59"/>
    </row>
    <row r="825" spans="21:23" ht="13" x14ac:dyDescent="0.15">
      <c r="U825" s="59"/>
      <c r="V825" s="59"/>
      <c r="W825" s="59"/>
    </row>
    <row r="826" spans="21:23" ht="13" x14ac:dyDescent="0.15">
      <c r="U826" s="59"/>
      <c r="V826" s="59"/>
      <c r="W826" s="59"/>
    </row>
    <row r="827" spans="21:23" ht="13" x14ac:dyDescent="0.15">
      <c r="U827" s="59"/>
      <c r="V827" s="59"/>
      <c r="W827" s="59"/>
    </row>
    <row r="828" spans="21:23" ht="13" x14ac:dyDescent="0.15">
      <c r="U828" s="59"/>
      <c r="V828" s="59"/>
      <c r="W828" s="59"/>
    </row>
    <row r="829" spans="21:23" ht="13" x14ac:dyDescent="0.15">
      <c r="U829" s="59"/>
      <c r="V829" s="59"/>
      <c r="W829" s="59"/>
    </row>
    <row r="830" spans="21:23" ht="13" x14ac:dyDescent="0.15">
      <c r="U830" s="59"/>
      <c r="V830" s="59"/>
      <c r="W830" s="59"/>
    </row>
    <row r="831" spans="21:23" ht="13" x14ac:dyDescent="0.15">
      <c r="U831" s="59"/>
      <c r="V831" s="59"/>
      <c r="W831" s="59"/>
    </row>
    <row r="832" spans="21:23" ht="13" x14ac:dyDescent="0.15">
      <c r="U832" s="59"/>
      <c r="V832" s="59"/>
      <c r="W832" s="59"/>
    </row>
    <row r="833" spans="21:23" ht="13" x14ac:dyDescent="0.15">
      <c r="U833" s="59"/>
      <c r="V833" s="59"/>
      <c r="W833" s="59"/>
    </row>
    <row r="834" spans="21:23" ht="13" x14ac:dyDescent="0.15">
      <c r="U834" s="59"/>
      <c r="V834" s="59"/>
      <c r="W834" s="59"/>
    </row>
    <row r="835" spans="21:23" ht="13" x14ac:dyDescent="0.15">
      <c r="U835" s="59"/>
      <c r="V835" s="59"/>
      <c r="W835" s="59"/>
    </row>
    <row r="836" spans="21:23" ht="13" x14ac:dyDescent="0.15">
      <c r="U836" s="59"/>
      <c r="V836" s="59"/>
      <c r="W836" s="59"/>
    </row>
    <row r="837" spans="21:23" ht="13" x14ac:dyDescent="0.15">
      <c r="U837" s="59"/>
      <c r="V837" s="59"/>
      <c r="W837" s="59"/>
    </row>
    <row r="838" spans="21:23" ht="13" x14ac:dyDescent="0.15">
      <c r="U838" s="59"/>
      <c r="V838" s="59"/>
      <c r="W838" s="59"/>
    </row>
    <row r="839" spans="21:23" ht="13" x14ac:dyDescent="0.15">
      <c r="U839" s="59"/>
      <c r="V839" s="59"/>
      <c r="W839" s="59"/>
    </row>
    <row r="840" spans="21:23" ht="13" x14ac:dyDescent="0.15">
      <c r="U840" s="59"/>
      <c r="V840" s="59"/>
      <c r="W840" s="59"/>
    </row>
    <row r="841" spans="21:23" ht="13" x14ac:dyDescent="0.15">
      <c r="U841" s="59"/>
      <c r="V841" s="59"/>
      <c r="W841" s="59"/>
    </row>
    <row r="842" spans="21:23" ht="13" x14ac:dyDescent="0.15">
      <c r="U842" s="59"/>
      <c r="V842" s="59"/>
      <c r="W842" s="59"/>
    </row>
    <row r="843" spans="21:23" ht="13" x14ac:dyDescent="0.15">
      <c r="U843" s="59"/>
      <c r="V843" s="59"/>
      <c r="W843" s="59"/>
    </row>
    <row r="844" spans="21:23" ht="13" x14ac:dyDescent="0.15">
      <c r="U844" s="59"/>
      <c r="V844" s="59"/>
      <c r="W844" s="59"/>
    </row>
    <row r="845" spans="21:23" ht="13" x14ac:dyDescent="0.15">
      <c r="U845" s="59"/>
      <c r="V845" s="59"/>
      <c r="W845" s="59"/>
    </row>
    <row r="846" spans="21:23" ht="13" x14ac:dyDescent="0.15">
      <c r="U846" s="59"/>
      <c r="V846" s="59"/>
      <c r="W846" s="59"/>
    </row>
    <row r="847" spans="21:23" ht="13" x14ac:dyDescent="0.15">
      <c r="U847" s="59"/>
      <c r="V847" s="59"/>
      <c r="W847" s="59"/>
    </row>
    <row r="848" spans="21:23" ht="13" x14ac:dyDescent="0.15">
      <c r="U848" s="59"/>
      <c r="V848" s="59"/>
      <c r="W848" s="59"/>
    </row>
    <row r="849" spans="21:23" ht="13" x14ac:dyDescent="0.15">
      <c r="U849" s="59"/>
      <c r="V849" s="59"/>
      <c r="W849" s="59"/>
    </row>
    <row r="850" spans="21:23" ht="13" x14ac:dyDescent="0.15">
      <c r="U850" s="59"/>
      <c r="V850" s="59"/>
      <c r="W850" s="59"/>
    </row>
    <row r="851" spans="21:23" ht="13" x14ac:dyDescent="0.15">
      <c r="U851" s="59"/>
      <c r="V851" s="59"/>
      <c r="W851" s="59"/>
    </row>
    <row r="852" spans="21:23" ht="13" x14ac:dyDescent="0.15">
      <c r="U852" s="59"/>
      <c r="V852" s="59"/>
      <c r="W852" s="59"/>
    </row>
    <row r="853" spans="21:23" ht="13" x14ac:dyDescent="0.15">
      <c r="U853" s="59"/>
      <c r="V853" s="59"/>
      <c r="W853" s="59"/>
    </row>
    <row r="854" spans="21:23" ht="13" x14ac:dyDescent="0.15">
      <c r="U854" s="59"/>
      <c r="V854" s="59"/>
      <c r="W854" s="59"/>
    </row>
    <row r="855" spans="21:23" ht="13" x14ac:dyDescent="0.15">
      <c r="U855" s="59"/>
      <c r="V855" s="59"/>
      <c r="W855" s="59"/>
    </row>
    <row r="856" spans="21:23" ht="13" x14ac:dyDescent="0.15">
      <c r="U856" s="59"/>
      <c r="V856" s="59"/>
      <c r="W856" s="59"/>
    </row>
    <row r="857" spans="21:23" ht="13" x14ac:dyDescent="0.15">
      <c r="U857" s="59"/>
      <c r="V857" s="59"/>
      <c r="W857" s="59"/>
    </row>
    <row r="858" spans="21:23" ht="13" x14ac:dyDescent="0.15">
      <c r="U858" s="59"/>
      <c r="V858" s="59"/>
      <c r="W858" s="59"/>
    </row>
    <row r="859" spans="21:23" ht="13" x14ac:dyDescent="0.15">
      <c r="U859" s="59"/>
      <c r="V859" s="59"/>
      <c r="W859" s="59"/>
    </row>
    <row r="860" spans="21:23" ht="13" x14ac:dyDescent="0.15">
      <c r="U860" s="59"/>
      <c r="V860" s="59"/>
      <c r="W860" s="59"/>
    </row>
    <row r="861" spans="21:23" ht="13" x14ac:dyDescent="0.15">
      <c r="U861" s="59"/>
      <c r="V861" s="59"/>
      <c r="W861" s="59"/>
    </row>
    <row r="862" spans="21:23" ht="13" x14ac:dyDescent="0.15">
      <c r="U862" s="59"/>
      <c r="V862" s="59"/>
      <c r="W862" s="59"/>
    </row>
    <row r="863" spans="21:23" ht="13" x14ac:dyDescent="0.15">
      <c r="U863" s="59"/>
      <c r="V863" s="59"/>
      <c r="W863" s="59"/>
    </row>
    <row r="864" spans="21:23" ht="13" x14ac:dyDescent="0.15">
      <c r="U864" s="59"/>
      <c r="V864" s="59"/>
      <c r="W864" s="59"/>
    </row>
    <row r="865" spans="21:23" ht="13" x14ac:dyDescent="0.15">
      <c r="U865" s="59"/>
      <c r="V865" s="59"/>
      <c r="W865" s="59"/>
    </row>
    <row r="866" spans="21:23" ht="13" x14ac:dyDescent="0.15">
      <c r="U866" s="59"/>
      <c r="V866" s="59"/>
      <c r="W866" s="59"/>
    </row>
    <row r="867" spans="21:23" ht="13" x14ac:dyDescent="0.15">
      <c r="U867" s="59"/>
      <c r="V867" s="59"/>
      <c r="W867" s="59"/>
    </row>
    <row r="868" spans="21:23" ht="13" x14ac:dyDescent="0.15">
      <c r="U868" s="59"/>
      <c r="V868" s="59"/>
      <c r="W868" s="59"/>
    </row>
    <row r="869" spans="21:23" ht="13" x14ac:dyDescent="0.15">
      <c r="U869" s="59"/>
      <c r="V869" s="59"/>
      <c r="W869" s="59"/>
    </row>
    <row r="870" spans="21:23" ht="13" x14ac:dyDescent="0.15">
      <c r="U870" s="59"/>
      <c r="V870" s="59"/>
      <c r="W870" s="59"/>
    </row>
    <row r="871" spans="21:23" ht="13" x14ac:dyDescent="0.15">
      <c r="U871" s="59"/>
      <c r="V871" s="59"/>
      <c r="W871" s="59"/>
    </row>
    <row r="872" spans="21:23" ht="13" x14ac:dyDescent="0.15">
      <c r="U872" s="59"/>
      <c r="V872" s="59"/>
      <c r="W872" s="59"/>
    </row>
    <row r="873" spans="21:23" ht="13" x14ac:dyDescent="0.15">
      <c r="U873" s="59"/>
      <c r="V873" s="59"/>
      <c r="W873" s="59"/>
    </row>
    <row r="874" spans="21:23" ht="13" x14ac:dyDescent="0.15">
      <c r="U874" s="59"/>
      <c r="V874" s="59"/>
      <c r="W874" s="59"/>
    </row>
    <row r="875" spans="21:23" ht="13" x14ac:dyDescent="0.15">
      <c r="U875" s="59"/>
      <c r="V875" s="59"/>
      <c r="W875" s="59"/>
    </row>
    <row r="876" spans="21:23" ht="13" x14ac:dyDescent="0.15">
      <c r="U876" s="59"/>
      <c r="V876" s="59"/>
      <c r="W876" s="59"/>
    </row>
    <row r="877" spans="21:23" ht="13" x14ac:dyDescent="0.15">
      <c r="U877" s="59"/>
      <c r="V877" s="59"/>
      <c r="W877" s="59"/>
    </row>
    <row r="878" spans="21:23" ht="13" x14ac:dyDescent="0.15">
      <c r="U878" s="59"/>
      <c r="V878" s="59"/>
      <c r="W878" s="59"/>
    </row>
    <row r="879" spans="21:23" ht="13" x14ac:dyDescent="0.15">
      <c r="U879" s="59"/>
      <c r="V879" s="59"/>
      <c r="W879" s="59"/>
    </row>
    <row r="880" spans="21:23" ht="13" x14ac:dyDescent="0.15">
      <c r="U880" s="59"/>
      <c r="V880" s="59"/>
      <c r="W880" s="59"/>
    </row>
    <row r="881" spans="21:23" ht="13" x14ac:dyDescent="0.15">
      <c r="U881" s="59"/>
      <c r="V881" s="59"/>
      <c r="W881" s="59"/>
    </row>
    <row r="882" spans="21:23" ht="13" x14ac:dyDescent="0.15">
      <c r="U882" s="59"/>
      <c r="V882" s="59"/>
      <c r="W882" s="59"/>
    </row>
    <row r="883" spans="21:23" ht="13" x14ac:dyDescent="0.15">
      <c r="U883" s="59"/>
      <c r="V883" s="59"/>
      <c r="W883" s="59"/>
    </row>
    <row r="884" spans="21:23" ht="13" x14ac:dyDescent="0.15">
      <c r="U884" s="59"/>
      <c r="V884" s="59"/>
      <c r="W884" s="59"/>
    </row>
    <row r="885" spans="21:23" ht="13" x14ac:dyDescent="0.15">
      <c r="U885" s="59"/>
      <c r="V885" s="59"/>
      <c r="W885" s="59"/>
    </row>
    <row r="886" spans="21:23" ht="13" x14ac:dyDescent="0.15">
      <c r="U886" s="59"/>
      <c r="V886" s="59"/>
      <c r="W886" s="59"/>
    </row>
    <row r="887" spans="21:23" ht="13" x14ac:dyDescent="0.15">
      <c r="U887" s="59"/>
      <c r="V887" s="59"/>
      <c r="W887" s="59"/>
    </row>
    <row r="888" spans="21:23" ht="13" x14ac:dyDescent="0.15">
      <c r="U888" s="59"/>
      <c r="V888" s="59"/>
      <c r="W888" s="59"/>
    </row>
    <row r="889" spans="21:23" ht="13" x14ac:dyDescent="0.15">
      <c r="U889" s="59"/>
      <c r="V889" s="59"/>
      <c r="W889" s="59"/>
    </row>
    <row r="890" spans="21:23" ht="13" x14ac:dyDescent="0.15">
      <c r="U890" s="59"/>
      <c r="V890" s="59"/>
      <c r="W890" s="59"/>
    </row>
    <row r="891" spans="21:23" ht="13" x14ac:dyDescent="0.15">
      <c r="U891" s="59"/>
      <c r="V891" s="59"/>
      <c r="W891" s="59"/>
    </row>
    <row r="892" spans="21:23" ht="13" x14ac:dyDescent="0.15">
      <c r="U892" s="59"/>
      <c r="V892" s="59"/>
      <c r="W892" s="59"/>
    </row>
    <row r="893" spans="21:23" ht="13" x14ac:dyDescent="0.15">
      <c r="U893" s="59"/>
      <c r="V893" s="59"/>
      <c r="W893" s="59"/>
    </row>
    <row r="894" spans="21:23" ht="13" x14ac:dyDescent="0.15">
      <c r="U894" s="59"/>
      <c r="V894" s="59"/>
      <c r="W894" s="59"/>
    </row>
    <row r="895" spans="21:23" ht="13" x14ac:dyDescent="0.15">
      <c r="U895" s="59"/>
      <c r="V895" s="59"/>
      <c r="W895" s="59"/>
    </row>
    <row r="896" spans="21:23" ht="13" x14ac:dyDescent="0.15">
      <c r="U896" s="59"/>
      <c r="V896" s="59"/>
      <c r="W896" s="59"/>
    </row>
    <row r="897" spans="21:23" ht="13" x14ac:dyDescent="0.15">
      <c r="U897" s="59"/>
      <c r="V897" s="59"/>
      <c r="W897" s="59"/>
    </row>
    <row r="898" spans="21:23" ht="13" x14ac:dyDescent="0.15">
      <c r="U898" s="59"/>
      <c r="V898" s="59"/>
      <c r="W898" s="59"/>
    </row>
    <row r="899" spans="21:23" ht="13" x14ac:dyDescent="0.15">
      <c r="U899" s="59"/>
      <c r="V899" s="59"/>
      <c r="W899" s="59"/>
    </row>
    <row r="900" spans="21:23" ht="13" x14ac:dyDescent="0.15">
      <c r="U900" s="59"/>
      <c r="V900" s="59"/>
      <c r="W900" s="59"/>
    </row>
    <row r="901" spans="21:23" ht="13" x14ac:dyDescent="0.15">
      <c r="U901" s="59"/>
      <c r="V901" s="59"/>
      <c r="W901" s="59"/>
    </row>
    <row r="902" spans="21:23" ht="13" x14ac:dyDescent="0.15">
      <c r="U902" s="59"/>
      <c r="V902" s="59"/>
      <c r="W902" s="59"/>
    </row>
    <row r="903" spans="21:23" ht="13" x14ac:dyDescent="0.15">
      <c r="U903" s="59"/>
      <c r="V903" s="59"/>
      <c r="W903" s="59"/>
    </row>
    <row r="904" spans="21:23" ht="13" x14ac:dyDescent="0.15">
      <c r="U904" s="59"/>
      <c r="V904" s="59"/>
      <c r="W904" s="59"/>
    </row>
    <row r="905" spans="21:23" ht="13" x14ac:dyDescent="0.15">
      <c r="U905" s="59"/>
      <c r="V905" s="59"/>
      <c r="W905" s="59"/>
    </row>
    <row r="906" spans="21:23" ht="13" x14ac:dyDescent="0.15">
      <c r="U906" s="59"/>
      <c r="V906" s="59"/>
      <c r="W906" s="59"/>
    </row>
    <row r="907" spans="21:23" ht="13" x14ac:dyDescent="0.15">
      <c r="U907" s="59"/>
      <c r="V907" s="59"/>
      <c r="W907" s="59"/>
    </row>
    <row r="908" spans="21:23" ht="13" x14ac:dyDescent="0.15">
      <c r="U908" s="59"/>
      <c r="V908" s="59"/>
      <c r="W908" s="59"/>
    </row>
    <row r="909" spans="21:23" ht="13" x14ac:dyDescent="0.15">
      <c r="U909" s="59"/>
      <c r="V909" s="59"/>
      <c r="W909" s="59"/>
    </row>
    <row r="910" spans="21:23" ht="13" x14ac:dyDescent="0.15">
      <c r="U910" s="59"/>
      <c r="V910" s="59"/>
      <c r="W910" s="59"/>
    </row>
    <row r="911" spans="21:23" ht="13" x14ac:dyDescent="0.15">
      <c r="U911" s="59"/>
      <c r="V911" s="59"/>
      <c r="W911" s="59"/>
    </row>
    <row r="912" spans="21:23" ht="13" x14ac:dyDescent="0.15">
      <c r="U912" s="59"/>
      <c r="V912" s="59"/>
      <c r="W912" s="59"/>
    </row>
    <row r="913" spans="21:23" ht="13" x14ac:dyDescent="0.15">
      <c r="U913" s="59"/>
      <c r="V913" s="59"/>
      <c r="W913" s="59"/>
    </row>
    <row r="914" spans="21:23" ht="13" x14ac:dyDescent="0.15">
      <c r="U914" s="59"/>
      <c r="V914" s="59"/>
      <c r="W914" s="59"/>
    </row>
    <row r="915" spans="21:23" ht="13" x14ac:dyDescent="0.15">
      <c r="U915" s="59"/>
      <c r="V915" s="59"/>
      <c r="W915" s="59"/>
    </row>
    <row r="916" spans="21:23" ht="13" x14ac:dyDescent="0.15">
      <c r="U916" s="59"/>
      <c r="V916" s="59"/>
      <c r="W916" s="59"/>
    </row>
    <row r="917" spans="21:23" ht="13" x14ac:dyDescent="0.15">
      <c r="U917" s="59"/>
      <c r="V917" s="59"/>
      <c r="W917" s="59"/>
    </row>
    <row r="918" spans="21:23" ht="13" x14ac:dyDescent="0.15">
      <c r="U918" s="59"/>
      <c r="V918" s="59"/>
      <c r="W918" s="59"/>
    </row>
    <row r="919" spans="21:23" ht="13" x14ac:dyDescent="0.15">
      <c r="U919" s="59"/>
      <c r="V919" s="59"/>
      <c r="W919" s="59"/>
    </row>
    <row r="920" spans="21:23" ht="13" x14ac:dyDescent="0.15">
      <c r="U920" s="59"/>
      <c r="V920" s="59"/>
      <c r="W920" s="59"/>
    </row>
    <row r="921" spans="21:23" ht="13" x14ac:dyDescent="0.15">
      <c r="U921" s="59"/>
      <c r="V921" s="59"/>
      <c r="W921" s="59"/>
    </row>
    <row r="922" spans="21:23" ht="13" x14ac:dyDescent="0.15">
      <c r="U922" s="59"/>
      <c r="V922" s="59"/>
      <c r="W922" s="59"/>
    </row>
    <row r="923" spans="21:23" ht="13" x14ac:dyDescent="0.15">
      <c r="U923" s="59"/>
      <c r="V923" s="59"/>
      <c r="W923" s="59"/>
    </row>
    <row r="924" spans="21:23" ht="13" x14ac:dyDescent="0.15">
      <c r="U924" s="59"/>
      <c r="V924" s="59"/>
      <c r="W924" s="59"/>
    </row>
    <row r="925" spans="21:23" ht="13" x14ac:dyDescent="0.15">
      <c r="U925" s="59"/>
      <c r="V925" s="59"/>
      <c r="W925" s="59"/>
    </row>
    <row r="926" spans="21:23" ht="13" x14ac:dyDescent="0.15">
      <c r="U926" s="59"/>
      <c r="V926" s="59"/>
      <c r="W926" s="59"/>
    </row>
    <row r="927" spans="21:23" ht="13" x14ac:dyDescent="0.15">
      <c r="U927" s="59"/>
      <c r="V927" s="59"/>
      <c r="W927" s="59"/>
    </row>
    <row r="928" spans="21:23" ht="13" x14ac:dyDescent="0.15">
      <c r="U928" s="59"/>
      <c r="V928" s="59"/>
      <c r="W928" s="59"/>
    </row>
    <row r="929" spans="21:23" ht="13" x14ac:dyDescent="0.15">
      <c r="U929" s="59"/>
      <c r="V929" s="59"/>
      <c r="W929" s="59"/>
    </row>
    <row r="930" spans="21:23" ht="13" x14ac:dyDescent="0.15">
      <c r="U930" s="59"/>
      <c r="V930" s="59"/>
      <c r="W930" s="59"/>
    </row>
    <row r="931" spans="21:23" ht="13" x14ac:dyDescent="0.15">
      <c r="U931" s="59"/>
      <c r="V931" s="59"/>
      <c r="W931" s="59"/>
    </row>
    <row r="932" spans="21:23" ht="13" x14ac:dyDescent="0.15">
      <c r="U932" s="59"/>
      <c r="V932" s="59"/>
      <c r="W932" s="59"/>
    </row>
    <row r="933" spans="21:23" ht="13" x14ac:dyDescent="0.15">
      <c r="U933" s="59"/>
      <c r="V933" s="59"/>
      <c r="W933" s="59"/>
    </row>
    <row r="934" spans="21:23" ht="13" x14ac:dyDescent="0.15">
      <c r="U934" s="59"/>
      <c r="V934" s="59"/>
      <c r="W934" s="59"/>
    </row>
    <row r="935" spans="21:23" ht="13" x14ac:dyDescent="0.15">
      <c r="U935" s="59"/>
      <c r="V935" s="59"/>
      <c r="W935" s="59"/>
    </row>
    <row r="936" spans="21:23" ht="13" x14ac:dyDescent="0.15">
      <c r="U936" s="59"/>
      <c r="V936" s="59"/>
      <c r="W936" s="59"/>
    </row>
    <row r="937" spans="21:23" ht="13" x14ac:dyDescent="0.15">
      <c r="U937" s="59"/>
      <c r="V937" s="59"/>
      <c r="W937" s="59"/>
    </row>
    <row r="938" spans="21:23" ht="13" x14ac:dyDescent="0.15">
      <c r="U938" s="59"/>
      <c r="V938" s="59"/>
      <c r="W938" s="59"/>
    </row>
    <row r="939" spans="21:23" ht="13" x14ac:dyDescent="0.15">
      <c r="U939" s="59"/>
      <c r="V939" s="59"/>
      <c r="W939" s="59"/>
    </row>
    <row r="940" spans="21:23" ht="13" x14ac:dyDescent="0.15">
      <c r="U940" s="59"/>
      <c r="V940" s="59"/>
      <c r="W940" s="59"/>
    </row>
    <row r="941" spans="21:23" ht="13" x14ac:dyDescent="0.15">
      <c r="U941" s="59"/>
      <c r="V941" s="59"/>
      <c r="W941" s="59"/>
    </row>
    <row r="942" spans="21:23" ht="13" x14ac:dyDescent="0.15">
      <c r="U942" s="59"/>
      <c r="V942" s="59"/>
      <c r="W942" s="59"/>
    </row>
    <row r="943" spans="21:23" ht="13" x14ac:dyDescent="0.15">
      <c r="U943" s="59"/>
      <c r="V943" s="59"/>
      <c r="W943" s="59"/>
    </row>
    <row r="944" spans="21:23" ht="13" x14ac:dyDescent="0.15">
      <c r="U944" s="59"/>
      <c r="V944" s="59"/>
      <c r="W944" s="59"/>
    </row>
    <row r="945" spans="21:23" ht="13" x14ac:dyDescent="0.15">
      <c r="U945" s="59"/>
      <c r="V945" s="59"/>
      <c r="W945" s="59"/>
    </row>
    <row r="946" spans="21:23" ht="13" x14ac:dyDescent="0.15">
      <c r="U946" s="59"/>
      <c r="V946" s="59"/>
      <c r="W946" s="59"/>
    </row>
    <row r="947" spans="21:23" ht="13" x14ac:dyDescent="0.15">
      <c r="U947" s="59"/>
      <c r="V947" s="59"/>
      <c r="W947" s="59"/>
    </row>
    <row r="948" spans="21:23" ht="13" x14ac:dyDescent="0.15">
      <c r="U948" s="59"/>
      <c r="V948" s="59"/>
      <c r="W948" s="59"/>
    </row>
    <row r="949" spans="21:23" ht="13" x14ac:dyDescent="0.15">
      <c r="U949" s="59"/>
      <c r="V949" s="59"/>
      <c r="W949" s="59"/>
    </row>
    <row r="950" spans="21:23" ht="13" x14ac:dyDescent="0.15">
      <c r="U950" s="59"/>
      <c r="V950" s="59"/>
      <c r="W950" s="59"/>
    </row>
    <row r="951" spans="21:23" ht="13" x14ac:dyDescent="0.15">
      <c r="U951" s="59"/>
      <c r="V951" s="59"/>
      <c r="W951" s="59"/>
    </row>
    <row r="952" spans="21:23" ht="13" x14ac:dyDescent="0.15">
      <c r="U952" s="59"/>
      <c r="V952" s="59"/>
      <c r="W952" s="59"/>
    </row>
    <row r="953" spans="21:23" ht="13" x14ac:dyDescent="0.15">
      <c r="U953" s="59"/>
      <c r="V953" s="59"/>
      <c r="W953" s="59"/>
    </row>
    <row r="954" spans="21:23" ht="13" x14ac:dyDescent="0.15">
      <c r="U954" s="59"/>
      <c r="V954" s="59"/>
      <c r="W954" s="59"/>
    </row>
    <row r="955" spans="21:23" ht="13" x14ac:dyDescent="0.15">
      <c r="U955" s="59"/>
      <c r="V955" s="59"/>
      <c r="W955" s="59"/>
    </row>
    <row r="956" spans="21:23" ht="13" x14ac:dyDescent="0.15">
      <c r="U956" s="59"/>
      <c r="V956" s="59"/>
      <c r="W956" s="59"/>
    </row>
    <row r="957" spans="21:23" ht="13" x14ac:dyDescent="0.15">
      <c r="U957" s="59"/>
      <c r="V957" s="59"/>
      <c r="W957" s="59"/>
    </row>
    <row r="958" spans="21:23" ht="13" x14ac:dyDescent="0.15">
      <c r="U958" s="59"/>
      <c r="V958" s="59"/>
      <c r="W958" s="59"/>
    </row>
    <row r="959" spans="21:23" ht="13" x14ac:dyDescent="0.15">
      <c r="U959" s="59"/>
      <c r="V959" s="59"/>
      <c r="W959" s="59"/>
    </row>
    <row r="960" spans="21:23" ht="13" x14ac:dyDescent="0.15">
      <c r="U960" s="59"/>
      <c r="V960" s="59"/>
      <c r="W960" s="59"/>
    </row>
    <row r="961" spans="21:23" ht="13" x14ac:dyDescent="0.15">
      <c r="U961" s="59"/>
      <c r="V961" s="59"/>
      <c r="W961" s="59"/>
    </row>
    <row r="962" spans="21:23" ht="13" x14ac:dyDescent="0.15">
      <c r="U962" s="59"/>
      <c r="V962" s="59"/>
      <c r="W962" s="59"/>
    </row>
    <row r="963" spans="21:23" ht="13" x14ac:dyDescent="0.15">
      <c r="U963" s="59"/>
      <c r="V963" s="59"/>
      <c r="W963" s="59"/>
    </row>
    <row r="964" spans="21:23" ht="13" x14ac:dyDescent="0.15">
      <c r="U964" s="59"/>
      <c r="V964" s="59"/>
      <c r="W964" s="59"/>
    </row>
    <row r="965" spans="21:23" ht="13" x14ac:dyDescent="0.15">
      <c r="U965" s="59"/>
      <c r="V965" s="59"/>
      <c r="W965" s="59"/>
    </row>
    <row r="966" spans="21:23" ht="13" x14ac:dyDescent="0.15">
      <c r="U966" s="59"/>
      <c r="V966" s="59"/>
      <c r="W966" s="59"/>
    </row>
    <row r="967" spans="21:23" ht="13" x14ac:dyDescent="0.15">
      <c r="U967" s="59"/>
      <c r="V967" s="59"/>
      <c r="W967" s="59"/>
    </row>
    <row r="968" spans="21:23" ht="13" x14ac:dyDescent="0.15">
      <c r="U968" s="59"/>
      <c r="V968" s="59"/>
      <c r="W968" s="59"/>
    </row>
    <row r="969" spans="21:23" ht="13" x14ac:dyDescent="0.15">
      <c r="U969" s="59"/>
      <c r="V969" s="59"/>
      <c r="W969" s="59"/>
    </row>
    <row r="970" spans="21:23" ht="13" x14ac:dyDescent="0.15">
      <c r="U970" s="59"/>
      <c r="V970" s="59"/>
      <c r="W970" s="59"/>
    </row>
    <row r="971" spans="21:23" ht="13" x14ac:dyDescent="0.15">
      <c r="U971" s="59"/>
      <c r="V971" s="59"/>
      <c r="W971" s="59"/>
    </row>
    <row r="972" spans="21:23" ht="13" x14ac:dyDescent="0.15">
      <c r="U972" s="59"/>
      <c r="V972" s="59"/>
      <c r="W972" s="59"/>
    </row>
    <row r="973" spans="21:23" ht="13" x14ac:dyDescent="0.15">
      <c r="U973" s="59"/>
      <c r="V973" s="59"/>
      <c r="W973" s="59"/>
    </row>
    <row r="974" spans="21:23" ht="13" x14ac:dyDescent="0.15">
      <c r="U974" s="59"/>
      <c r="V974" s="59"/>
      <c r="W974" s="59"/>
    </row>
    <row r="975" spans="21:23" ht="13" x14ac:dyDescent="0.15">
      <c r="U975" s="59"/>
      <c r="V975" s="59"/>
      <c r="W975" s="59"/>
    </row>
    <row r="976" spans="21:23" ht="13" x14ac:dyDescent="0.15">
      <c r="U976" s="59"/>
      <c r="V976" s="59"/>
      <c r="W976" s="59"/>
    </row>
    <row r="977" spans="21:23" ht="13" x14ac:dyDescent="0.15">
      <c r="U977" s="59"/>
      <c r="V977" s="59"/>
      <c r="W977" s="59"/>
    </row>
    <row r="978" spans="21:23" ht="13" x14ac:dyDescent="0.15">
      <c r="U978" s="59"/>
      <c r="V978" s="59"/>
      <c r="W978" s="59"/>
    </row>
    <row r="979" spans="21:23" ht="13" x14ac:dyDescent="0.15">
      <c r="U979" s="59"/>
      <c r="V979" s="59"/>
      <c r="W979" s="59"/>
    </row>
    <row r="980" spans="21:23" ht="13" x14ac:dyDescent="0.15">
      <c r="U980" s="59"/>
      <c r="V980" s="59"/>
      <c r="W980" s="59"/>
    </row>
    <row r="981" spans="21:23" ht="13" x14ac:dyDescent="0.15">
      <c r="U981" s="59"/>
      <c r="V981" s="59"/>
      <c r="W981" s="59"/>
    </row>
    <row r="982" spans="21:23" ht="13" x14ac:dyDescent="0.15">
      <c r="U982" s="59"/>
      <c r="V982" s="59"/>
      <c r="W982" s="59"/>
    </row>
    <row r="983" spans="21:23" ht="13" x14ac:dyDescent="0.15">
      <c r="U983" s="59"/>
      <c r="V983" s="59"/>
      <c r="W983" s="59"/>
    </row>
    <row r="984" spans="21:23" ht="13" x14ac:dyDescent="0.15">
      <c r="U984" s="59"/>
      <c r="V984" s="59"/>
      <c r="W984" s="59"/>
    </row>
    <row r="985" spans="21:23" ht="13" x14ac:dyDescent="0.15">
      <c r="U985" s="59"/>
      <c r="V985" s="59"/>
      <c r="W985" s="59"/>
    </row>
    <row r="986" spans="21:23" ht="13" x14ac:dyDescent="0.15">
      <c r="U986" s="59"/>
      <c r="V986" s="59"/>
      <c r="W986" s="59"/>
    </row>
    <row r="987" spans="21:23" ht="13" x14ac:dyDescent="0.15">
      <c r="U987" s="59"/>
      <c r="V987" s="59"/>
      <c r="W987" s="59"/>
    </row>
    <row r="988" spans="21:23" ht="13" x14ac:dyDescent="0.15">
      <c r="U988" s="59"/>
      <c r="V988" s="59"/>
      <c r="W988" s="59"/>
    </row>
    <row r="989" spans="21:23" ht="13" x14ac:dyDescent="0.15">
      <c r="U989" s="59"/>
      <c r="V989" s="59"/>
      <c r="W989" s="59"/>
    </row>
    <row r="990" spans="21:23" ht="13" x14ac:dyDescent="0.15">
      <c r="U990" s="59"/>
      <c r="V990" s="59"/>
      <c r="W990" s="59"/>
    </row>
    <row r="991" spans="21:23" ht="13" x14ac:dyDescent="0.15">
      <c r="U991" s="59"/>
      <c r="V991" s="59"/>
      <c r="W991" s="59"/>
    </row>
    <row r="992" spans="21:23" ht="13" x14ac:dyDescent="0.15">
      <c r="U992" s="59"/>
      <c r="V992" s="59"/>
      <c r="W992" s="59"/>
    </row>
    <row r="993" spans="21:23" ht="13" x14ac:dyDescent="0.15">
      <c r="U993" s="59"/>
      <c r="V993" s="59"/>
      <c r="W993" s="59"/>
    </row>
    <row r="994" spans="21:23" ht="13" x14ac:dyDescent="0.15">
      <c r="U994" s="59"/>
      <c r="V994" s="59"/>
      <c r="W994" s="59"/>
    </row>
    <row r="995" spans="21:23" ht="13" x14ac:dyDescent="0.15">
      <c r="U995" s="59"/>
      <c r="V995" s="59"/>
      <c r="W995" s="59"/>
    </row>
    <row r="996" spans="21:23" ht="13" x14ac:dyDescent="0.15">
      <c r="U996" s="59"/>
      <c r="V996" s="59"/>
      <c r="W996" s="59"/>
    </row>
    <row r="997" spans="21:23" ht="13" x14ac:dyDescent="0.15">
      <c r="U997" s="59"/>
      <c r="V997" s="59"/>
      <c r="W997" s="59"/>
    </row>
    <row r="998" spans="21:23" ht="13" x14ac:dyDescent="0.15">
      <c r="U998" s="59"/>
      <c r="V998" s="59"/>
      <c r="W998" s="59"/>
    </row>
    <row r="999" spans="21:23" ht="13" x14ac:dyDescent="0.15">
      <c r="U999" s="59"/>
      <c r="V999" s="59"/>
      <c r="W999" s="59"/>
    </row>
    <row r="1000" spans="21:23" ht="13" x14ac:dyDescent="0.15">
      <c r="U1000" s="59"/>
      <c r="V1000" s="59"/>
      <c r="W1000" s="59"/>
    </row>
    <row r="1001" spans="21:23" ht="13" x14ac:dyDescent="0.15">
      <c r="U1001" s="59"/>
      <c r="V1001" s="59"/>
      <c r="W1001" s="59"/>
    </row>
    <row r="1002" spans="21:23" ht="13" x14ac:dyDescent="0.15">
      <c r="U1002" s="59"/>
      <c r="V1002" s="59"/>
      <c r="W1002" s="59"/>
    </row>
    <row r="1003" spans="21:23" ht="13" x14ac:dyDescent="0.15">
      <c r="U1003" s="59"/>
      <c r="V1003" s="59"/>
      <c r="W1003" s="59"/>
    </row>
    <row r="1004" spans="21:23" ht="13" x14ac:dyDescent="0.15">
      <c r="U1004" s="59"/>
      <c r="V1004" s="59"/>
      <c r="W1004" s="59"/>
    </row>
    <row r="1005" spans="21:23" ht="13" x14ac:dyDescent="0.15">
      <c r="U1005" s="59"/>
      <c r="V1005" s="59"/>
      <c r="W1005" s="59"/>
    </row>
    <row r="1006" spans="21:23" ht="13" x14ac:dyDescent="0.15">
      <c r="U1006" s="59"/>
      <c r="V1006" s="59"/>
      <c r="W1006" s="59"/>
    </row>
    <row r="1007" spans="21:23" ht="13" x14ac:dyDescent="0.15">
      <c r="U1007" s="59"/>
      <c r="V1007" s="59"/>
      <c r="W1007" s="59"/>
    </row>
    <row r="1008" spans="21:23" ht="13" x14ac:dyDescent="0.15">
      <c r="U1008" s="59"/>
      <c r="V1008" s="59"/>
      <c r="W1008" s="59"/>
    </row>
    <row r="1009" spans="21:23" ht="13" x14ac:dyDescent="0.15">
      <c r="U1009" s="59"/>
      <c r="V1009" s="59"/>
      <c r="W1009" s="59"/>
    </row>
  </sheetData>
  <autoFilter ref="H1:H1009" xr:uid="{00000000-0009-0000-0000-000001000000}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52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.75" customHeight="1" x14ac:dyDescent="0.15"/>
  <cols>
    <col min="1" max="1" width="6" customWidth="1"/>
    <col min="2" max="2" width="32.5" customWidth="1"/>
    <col min="3" max="3" width="45.83203125" customWidth="1"/>
    <col min="4" max="4" width="16.5" customWidth="1"/>
    <col min="5" max="7" width="15" customWidth="1"/>
    <col min="8" max="8" width="17.6640625" customWidth="1"/>
    <col min="9" max="9" width="24" customWidth="1"/>
    <col min="10" max="10" width="101.1640625" customWidth="1"/>
    <col min="11" max="11" width="16.1640625" customWidth="1"/>
    <col min="12" max="12" width="18" customWidth="1"/>
    <col min="13" max="13" width="18.5" customWidth="1"/>
  </cols>
  <sheetData>
    <row r="1" spans="1:13" ht="32.25" customHeight="1" x14ac:dyDescent="0.15">
      <c r="A1" s="61" t="s">
        <v>396</v>
      </c>
      <c r="B1" s="61" t="s">
        <v>2</v>
      </c>
      <c r="C1" s="61" t="s">
        <v>4</v>
      </c>
      <c r="D1" s="61" t="s">
        <v>501</v>
      </c>
      <c r="E1" s="61" t="s">
        <v>402</v>
      </c>
      <c r="F1" s="61" t="s">
        <v>502</v>
      </c>
      <c r="G1" s="61" t="s">
        <v>503</v>
      </c>
      <c r="H1" s="61" t="s">
        <v>6</v>
      </c>
      <c r="I1" s="61" t="s">
        <v>413</v>
      </c>
      <c r="J1" s="61"/>
      <c r="K1" s="61" t="s">
        <v>407</v>
      </c>
      <c r="L1" s="61" t="s">
        <v>408</v>
      </c>
      <c r="M1" s="145" t="s">
        <v>504</v>
      </c>
    </row>
    <row r="2" spans="1:13" ht="22.5" customHeight="1" x14ac:dyDescent="0.2">
      <c r="A2" s="146">
        <v>230</v>
      </c>
      <c r="B2" s="139" t="str">
        <f>VLOOKUP($A2,PRESUPUESTOS!$A$4:$H$1026,3,FALSE())</f>
        <v>TRES ARROYOS</v>
      </c>
      <c r="C2" s="140" t="str">
        <f>VLOOKUP($A2,PRESUPUESTOS!$A$4:$H$1026,5,FALSE())</f>
        <v>MANGUERA DESOBSTRUCTORA</v>
      </c>
      <c r="D2" s="147">
        <v>45338</v>
      </c>
      <c r="E2" s="142"/>
      <c r="F2" s="142">
        <v>6006056</v>
      </c>
      <c r="G2" s="142">
        <v>6006056</v>
      </c>
      <c r="H2" s="146" t="s">
        <v>415</v>
      </c>
      <c r="I2" s="148">
        <v>45365</v>
      </c>
      <c r="J2" s="139" t="s">
        <v>18</v>
      </c>
      <c r="K2" s="146" t="s">
        <v>164</v>
      </c>
      <c r="L2" s="146" t="s">
        <v>164</v>
      </c>
      <c r="M2" s="149"/>
    </row>
    <row r="3" spans="1:13" ht="22.5" customHeight="1" x14ac:dyDescent="0.2">
      <c r="A3" s="146">
        <v>238</v>
      </c>
      <c r="B3" s="139" t="str">
        <f>VLOOKUP($A3,PRESUPUESTOS!$A$4:$H$1026,3,FALSE())</f>
        <v>ABSA - LA PLATA</v>
      </c>
      <c r="C3" s="140">
        <f>VLOOKUP($A3,PRESUPUESTOS!$A$4:$H$1026,5,FALSE())</f>
        <v>0</v>
      </c>
      <c r="D3" s="147">
        <v>45313</v>
      </c>
      <c r="E3" s="142"/>
      <c r="F3" s="150">
        <v>13796755</v>
      </c>
      <c r="G3" s="150"/>
      <c r="H3" s="146" t="s">
        <v>415</v>
      </c>
      <c r="I3" s="148">
        <v>45462</v>
      </c>
      <c r="J3" s="139" t="s">
        <v>144</v>
      </c>
      <c r="K3" s="146">
        <v>125</v>
      </c>
      <c r="L3" s="147"/>
      <c r="M3" s="149"/>
    </row>
    <row r="4" spans="1:13" ht="22.5" customHeight="1" x14ac:dyDescent="0.2">
      <c r="A4" s="146">
        <v>249</v>
      </c>
      <c r="B4" s="139" t="str">
        <f>VLOOKUP($A4,PRESUPUESTOS!$A$4:$H$1026,3,FALSE())</f>
        <v>ABSA - REGION 5</v>
      </c>
      <c r="C4" s="140" t="str">
        <f>VLOOKUP($A4,PRESUPUESTOS!$A$4:$H$1026,5,FALSE())</f>
        <v>ARREGLO EN GENERAL, EN REPARACION</v>
      </c>
      <c r="D4" s="147">
        <v>45453</v>
      </c>
      <c r="E4" s="142">
        <v>8038384</v>
      </c>
      <c r="F4" s="142">
        <v>15923949.82</v>
      </c>
      <c r="G4" s="142">
        <f t="shared" ref="G4:G28" si="0">F4-E4</f>
        <v>7885565.8200000003</v>
      </c>
      <c r="H4" s="151" t="s">
        <v>415</v>
      </c>
      <c r="I4" s="148">
        <v>45705</v>
      </c>
      <c r="J4" s="152" t="s">
        <v>505</v>
      </c>
      <c r="K4" s="146">
        <v>123</v>
      </c>
      <c r="L4" s="147"/>
      <c r="M4" s="149"/>
    </row>
    <row r="5" spans="1:13" ht="22.5" customHeight="1" x14ac:dyDescent="0.2">
      <c r="A5" s="146">
        <v>258</v>
      </c>
      <c r="B5" s="139" t="str">
        <f>VLOOKUP($A5,PRESUPUESTOS!$A$4:$H$1026,3,FALSE())</f>
        <v>ABSA - LINCOLN</v>
      </c>
      <c r="C5" s="140" t="str">
        <f>VLOOKUP($A5,PRESUPUESTOS!$A$4:$H$1026,5,FALSE())</f>
        <v>ARREGLOS EN GENERAL</v>
      </c>
      <c r="D5" s="148">
        <v>45427</v>
      </c>
      <c r="E5" s="142">
        <v>7511257</v>
      </c>
      <c r="F5" s="142">
        <v>25088834.5</v>
      </c>
      <c r="G5" s="142">
        <f t="shared" si="0"/>
        <v>17577577.5</v>
      </c>
      <c r="H5" s="146" t="s">
        <v>415</v>
      </c>
      <c r="I5" s="148">
        <v>45600</v>
      </c>
      <c r="J5" s="152" t="s">
        <v>144</v>
      </c>
      <c r="K5" s="146">
        <v>123</v>
      </c>
      <c r="L5" s="146">
        <v>228.5</v>
      </c>
      <c r="M5" s="149"/>
    </row>
    <row r="6" spans="1:13" ht="22.5" customHeight="1" x14ac:dyDescent="0.2">
      <c r="A6" s="146">
        <v>263</v>
      </c>
      <c r="B6" s="139" t="str">
        <f>VLOOKUP($A6,PRESUPUESTOS!$A$4:$H$1026,3,FALSE())</f>
        <v>SERVICIOS IBARRA</v>
      </c>
      <c r="C6" s="140" t="str">
        <f>VLOOKUP($A6,PRESUPUESTOS!$A$4:$H$1026,5,FALSE())</f>
        <v>REJA CANASTO Y BOYA</v>
      </c>
      <c r="D6" s="148">
        <v>45435</v>
      </c>
      <c r="E6" s="142"/>
      <c r="F6" s="142">
        <v>800000</v>
      </c>
      <c r="G6" s="142">
        <f t="shared" si="0"/>
        <v>800000</v>
      </c>
      <c r="H6" s="146" t="s">
        <v>415</v>
      </c>
      <c r="I6" s="148">
        <v>45443</v>
      </c>
      <c r="J6" s="139" t="s">
        <v>77</v>
      </c>
      <c r="K6" s="146" t="s">
        <v>164</v>
      </c>
      <c r="L6" s="146" t="s">
        <v>164</v>
      </c>
      <c r="M6" s="153" t="s">
        <v>506</v>
      </c>
    </row>
    <row r="7" spans="1:13" ht="22.5" customHeight="1" x14ac:dyDescent="0.2">
      <c r="A7" s="146">
        <v>271</v>
      </c>
      <c r="B7" s="139" t="str">
        <f>VLOOKUP($A7,PRESUPUESTOS!$A$4:$H$1026,3,FALSE())</f>
        <v>ABSA - LA PLATA</v>
      </c>
      <c r="C7" s="140" t="str">
        <f>VLOOKUP($A7,PRESUPUESTOS!$A$4:$H$1026,5,FALSE())</f>
        <v xml:space="preserve">TERCERIZADO FORD CIRCUITO DE COMBUSTIBLE </v>
      </c>
      <c r="D7" s="148">
        <v>45456</v>
      </c>
      <c r="E7" s="142">
        <v>1682944</v>
      </c>
      <c r="F7" s="154">
        <v>2395800</v>
      </c>
      <c r="G7" s="142">
        <f t="shared" si="0"/>
        <v>712856</v>
      </c>
      <c r="H7" s="146" t="s">
        <v>415</v>
      </c>
      <c r="I7" s="148">
        <v>45600</v>
      </c>
      <c r="J7" s="139" t="s">
        <v>98</v>
      </c>
      <c r="K7" s="146" t="s">
        <v>164</v>
      </c>
      <c r="L7" s="146" t="s">
        <v>164</v>
      </c>
      <c r="M7" s="149"/>
    </row>
    <row r="8" spans="1:13" ht="22.5" customHeight="1" x14ac:dyDescent="0.2">
      <c r="A8" s="136">
        <v>276</v>
      </c>
      <c r="B8" s="139" t="str">
        <f>VLOOKUP($A8,PRESUPUESTOS!$A$4:$H$1026,3,FALSE())</f>
        <v>ABSA - CAÑUELAS</v>
      </c>
      <c r="C8" s="140" t="str">
        <f>VLOOKUP($A8,PRESUPUESTOS!$A$4:$H$1026,5,FALSE())</f>
        <v>SOPLADOR REPYCKY R3.8 (BLOWER)</v>
      </c>
      <c r="D8" s="155">
        <v>45573</v>
      </c>
      <c r="E8" s="156">
        <v>20072161</v>
      </c>
      <c r="F8" s="142">
        <v>34449608</v>
      </c>
      <c r="G8" s="142">
        <f t="shared" si="0"/>
        <v>14377447</v>
      </c>
      <c r="H8" s="136" t="s">
        <v>415</v>
      </c>
      <c r="I8" s="155">
        <v>45590</v>
      </c>
      <c r="J8" s="157" t="s">
        <v>507</v>
      </c>
      <c r="K8" s="136" t="s">
        <v>164</v>
      </c>
      <c r="L8" s="136" t="s">
        <v>164</v>
      </c>
      <c r="M8" s="149"/>
    </row>
    <row r="9" spans="1:13" ht="22.5" customHeight="1" x14ac:dyDescent="0.2">
      <c r="A9" s="146">
        <v>279</v>
      </c>
      <c r="B9" s="139" t="str">
        <f>VLOOKUP($A9,PRESUPUESTOS!$A$4:$H$1026,3,FALSE())</f>
        <v>AGUAS RIONEGRINAS</v>
      </c>
      <c r="C9" s="140" t="str">
        <f>VLOOKUP($A9,PRESUPUESTOS!$A$4:$H$1026,5,FALSE())</f>
        <v>ENGRANAJES DE CAJA COTTA</v>
      </c>
      <c r="D9" s="148">
        <v>45496</v>
      </c>
      <c r="E9" s="142">
        <v>6661700</v>
      </c>
      <c r="F9" s="142">
        <v>22834030.399999999</v>
      </c>
      <c r="G9" s="142">
        <f t="shared" si="0"/>
        <v>16172330.399999999</v>
      </c>
      <c r="H9" s="146" t="s">
        <v>415</v>
      </c>
      <c r="I9" s="148">
        <v>45525</v>
      </c>
      <c r="J9" s="152" t="s">
        <v>508</v>
      </c>
      <c r="K9" s="146" t="s">
        <v>164</v>
      </c>
      <c r="L9" s="146" t="s">
        <v>164</v>
      </c>
      <c r="M9" s="153" t="s">
        <v>506</v>
      </c>
    </row>
    <row r="10" spans="1:13" ht="22.5" customHeight="1" x14ac:dyDescent="0.2">
      <c r="A10" s="146">
        <v>280</v>
      </c>
      <c r="B10" s="139" t="str">
        <f>VLOOKUP($A10,PRESUPUESTOS!$A$4:$H$1026,3,FALSE())</f>
        <v>M. JUNIN</v>
      </c>
      <c r="C10" s="140" t="str">
        <f>VLOOKUP($A10,PRESUPUESTOS!$A$4:$H$1026,5,FALSE())</f>
        <v>MANGUERA DESOBSTRUCTORA 1"</v>
      </c>
      <c r="D10" s="148">
        <v>45499</v>
      </c>
      <c r="E10" s="142">
        <v>5718774</v>
      </c>
      <c r="F10" s="142">
        <v>9382364</v>
      </c>
      <c r="G10" s="142">
        <f t="shared" si="0"/>
        <v>3663590</v>
      </c>
      <c r="H10" s="146" t="s">
        <v>415</v>
      </c>
      <c r="I10" s="148">
        <v>45523</v>
      </c>
      <c r="J10" s="139" t="s">
        <v>118</v>
      </c>
      <c r="K10" s="146" t="s">
        <v>164</v>
      </c>
      <c r="L10" s="146" t="s">
        <v>164</v>
      </c>
      <c r="M10" s="149"/>
    </row>
    <row r="11" spans="1:13" ht="22.5" customHeight="1" x14ac:dyDescent="0.2">
      <c r="A11" s="146">
        <v>281</v>
      </c>
      <c r="B11" s="139" t="str">
        <f>VLOOKUP($A11,PRESUPUESTOS!$A$4:$H$1026,3,FALSE())</f>
        <v>OSSE</v>
      </c>
      <c r="C11" s="140" t="str">
        <f>VLOOKUP($A11,PRESUPUESTOS!$A$4:$H$1026,5,FALSE())</f>
        <v>BURLETE DE SELLO DE TANQUE</v>
      </c>
      <c r="D11" s="148">
        <v>45505</v>
      </c>
      <c r="E11" s="142">
        <v>235950</v>
      </c>
      <c r="F11" s="142">
        <v>805134</v>
      </c>
      <c r="G11" s="142">
        <f t="shared" si="0"/>
        <v>569184</v>
      </c>
      <c r="H11" s="146" t="s">
        <v>415</v>
      </c>
      <c r="I11" s="148">
        <v>45566</v>
      </c>
      <c r="J11" s="152" t="s">
        <v>509</v>
      </c>
      <c r="K11" s="146" t="s">
        <v>164</v>
      </c>
      <c r="L11" s="146" t="s">
        <v>164</v>
      </c>
      <c r="M11" s="153" t="s">
        <v>506</v>
      </c>
    </row>
    <row r="12" spans="1:13" ht="22.5" customHeight="1" x14ac:dyDescent="0.2">
      <c r="A12" s="146">
        <v>287</v>
      </c>
      <c r="B12" s="139" t="str">
        <f>VLOOKUP($A12,PRESUPUESTOS!$A$4:$H$1026,3,FALSE())</f>
        <v>M.JUNIN</v>
      </c>
      <c r="C12" s="140" t="str">
        <f>VLOOKUP($A12,PRESUPUESTOS!$A$4:$H$1026,5,FALSE())</f>
        <v>FILTRO ACERO INOXIDABLE, RETENCION 200 MICRONES DE 70 H: 138MM ESTAÑADO, VALVULA DESVIAORA</v>
      </c>
      <c r="D12" s="158">
        <v>45513</v>
      </c>
      <c r="E12" s="142">
        <v>507671</v>
      </c>
      <c r="F12" s="142">
        <v>1642817</v>
      </c>
      <c r="G12" s="142">
        <f t="shared" si="0"/>
        <v>1135146</v>
      </c>
      <c r="H12" s="146" t="s">
        <v>415</v>
      </c>
      <c r="I12" s="148">
        <v>45534</v>
      </c>
      <c r="J12" s="139" t="s">
        <v>132</v>
      </c>
      <c r="K12" s="146" t="s">
        <v>164</v>
      </c>
      <c r="L12" s="146" t="s">
        <v>164</v>
      </c>
      <c r="M12" s="149"/>
    </row>
    <row r="13" spans="1:13" ht="22.5" customHeight="1" x14ac:dyDescent="0.2">
      <c r="A13" s="146">
        <v>288</v>
      </c>
      <c r="B13" s="139" t="str">
        <f>VLOOKUP($A13,PRESUPUESTOS!$A$4:$H$1026,3,FALSE())</f>
        <v>AGUAS RIONEGRINAS</v>
      </c>
      <c r="C13" s="140" t="str">
        <f>VLOOKUP($A13,PRESUPUESTOS!$A$4:$H$1026,5,FALSE())</f>
        <v>EMBRAGUE CAJA COTA</v>
      </c>
      <c r="D13" s="148">
        <v>45518</v>
      </c>
      <c r="E13" s="142">
        <v>1888103</v>
      </c>
      <c r="F13" s="142">
        <v>5558268</v>
      </c>
      <c r="G13" s="142">
        <f t="shared" si="0"/>
        <v>3670165</v>
      </c>
      <c r="H13" s="146" t="s">
        <v>415</v>
      </c>
      <c r="I13" s="148">
        <v>45544</v>
      </c>
      <c r="J13" s="152" t="s">
        <v>134</v>
      </c>
      <c r="K13" s="146" t="s">
        <v>164</v>
      </c>
      <c r="L13" s="146" t="s">
        <v>164</v>
      </c>
      <c r="M13" s="153" t="s">
        <v>506</v>
      </c>
    </row>
    <row r="14" spans="1:13" ht="22.5" customHeight="1" x14ac:dyDescent="0.2">
      <c r="A14" s="136">
        <v>255</v>
      </c>
      <c r="B14" s="139" t="str">
        <f>VLOOKUP($A14,PRESUPUESTOS!$A$4:$H$1026,3,FALSE())</f>
        <v>ABSA</v>
      </c>
      <c r="C14" s="140" t="str">
        <f>VLOOKUP($A14,PRESUPUESTOS!$A$4:$H$1026,5,FALSE())</f>
        <v xml:space="preserve">ACARREO Y INSPECCION DE CAMIONES DE ABSA  (AA-717-YL, AA-717-YM) </v>
      </c>
      <c r="D14" s="155">
        <v>45511</v>
      </c>
      <c r="E14" s="156">
        <v>750200</v>
      </c>
      <c r="F14" s="142">
        <v>1064800</v>
      </c>
      <c r="G14" s="142">
        <f t="shared" si="0"/>
        <v>314600</v>
      </c>
      <c r="H14" s="136" t="s">
        <v>415</v>
      </c>
      <c r="I14" s="159">
        <v>45582</v>
      </c>
      <c r="J14" s="157" t="s">
        <v>510</v>
      </c>
      <c r="K14" s="146" t="s">
        <v>164</v>
      </c>
      <c r="L14" s="146" t="s">
        <v>164</v>
      </c>
      <c r="M14" s="149"/>
    </row>
    <row r="15" spans="1:13" ht="22.5" customHeight="1" x14ac:dyDescent="0.2">
      <c r="A15" s="136">
        <v>293</v>
      </c>
      <c r="B15" s="139" t="str">
        <f>VLOOKUP($A15,PRESUPUESTOS!$A$4:$H$1026,3,FALSE())</f>
        <v>M.JUNIN</v>
      </c>
      <c r="C15" s="160" t="str">
        <f>VLOOKUP($A15,PRESUPUESTOS!$A$4:$H$1026,5,FALSE())</f>
        <v>TOBERAS, GRANADA OVOIDAL 3/4</v>
      </c>
      <c r="D15" s="148">
        <v>45531</v>
      </c>
      <c r="E15" s="142">
        <v>594160.02</v>
      </c>
      <c r="F15" s="142">
        <v>1417658.99</v>
      </c>
      <c r="G15" s="142">
        <f t="shared" si="0"/>
        <v>823498.97</v>
      </c>
      <c r="H15" s="146" t="s">
        <v>415</v>
      </c>
      <c r="I15" s="148">
        <v>45551</v>
      </c>
      <c r="J15" s="152" t="s">
        <v>511</v>
      </c>
      <c r="K15" s="146" t="s">
        <v>164</v>
      </c>
      <c r="L15" s="146" t="s">
        <v>164</v>
      </c>
      <c r="M15" s="149"/>
    </row>
    <row r="16" spans="1:13" ht="22.5" customHeight="1" x14ac:dyDescent="0.2">
      <c r="A16" s="136">
        <v>291</v>
      </c>
      <c r="B16" s="139" t="str">
        <f>VLOOKUP($A16,PRESUPUESTOS!$A$4:$H$1026,3,FALSE())</f>
        <v>M.JUNIN</v>
      </c>
      <c r="C16" s="160" t="str">
        <f>VLOOKUP($A16,PRESUPUESTOS!$A$4:$H$1026,5,FALSE())</f>
        <v>INSPECCION Y ARREGLOS EN GENERAL</v>
      </c>
      <c r="D16" s="159">
        <v>45559</v>
      </c>
      <c r="E16" s="156">
        <v>14384301</v>
      </c>
      <c r="F16" s="142">
        <v>40541774</v>
      </c>
      <c r="G16" s="142">
        <f t="shared" si="0"/>
        <v>26157473</v>
      </c>
      <c r="H16" s="136" t="s">
        <v>415</v>
      </c>
      <c r="I16" s="155">
        <v>45603</v>
      </c>
      <c r="J16" s="157" t="s">
        <v>69</v>
      </c>
      <c r="K16" s="146">
        <v>302</v>
      </c>
      <c r="L16" s="148"/>
      <c r="M16" s="149"/>
    </row>
    <row r="17" spans="1:13" ht="22.5" customHeight="1" x14ac:dyDescent="0.2">
      <c r="A17" s="136">
        <v>294</v>
      </c>
      <c r="B17" s="139" t="str">
        <f>VLOOKUP($A17,PRESUPUESTOS!$A$4:$H$1026,3,FALSE())</f>
        <v>M.BERAZATEGUI</v>
      </c>
      <c r="C17" s="160" t="str">
        <f>VLOOKUP($A17,PRESUPUESTOS!$A$4:$H$1026,5,FALSE())</f>
        <v>REPARACION BOMBA DE AGUA</v>
      </c>
      <c r="D17" s="155">
        <v>45574</v>
      </c>
      <c r="E17" s="156">
        <v>372315</v>
      </c>
      <c r="F17" s="142">
        <v>1424151</v>
      </c>
      <c r="G17" s="142">
        <f t="shared" si="0"/>
        <v>1051836</v>
      </c>
      <c r="H17" s="136" t="s">
        <v>415</v>
      </c>
      <c r="I17" s="155">
        <v>45579</v>
      </c>
      <c r="J17" s="157" t="s">
        <v>512</v>
      </c>
      <c r="K17" s="136">
        <v>6</v>
      </c>
      <c r="L17" s="136">
        <v>5</v>
      </c>
      <c r="M17" s="149"/>
    </row>
    <row r="18" spans="1:13" ht="22.5" customHeight="1" x14ac:dyDescent="0.2">
      <c r="A18" s="136">
        <v>301</v>
      </c>
      <c r="B18" s="139" t="str">
        <f>VLOOKUP($A18,PRESUPUESTOS!$A$4:$H$1026,3,FALSE())</f>
        <v>ABSA-CAÑUELAS</v>
      </c>
      <c r="C18" s="160" t="str">
        <f>VLOOKUP($A18,PRESUPUESTOS!$A$4:$H$1026,5,FALSE())</f>
        <v>CILINDRO DE TANQUE</v>
      </c>
      <c r="D18" s="155">
        <v>45635</v>
      </c>
      <c r="E18" s="156">
        <v>3468607</v>
      </c>
      <c r="F18" s="142">
        <v>6551015</v>
      </c>
      <c r="G18" s="142">
        <f t="shared" si="0"/>
        <v>3082408</v>
      </c>
      <c r="H18" s="136" t="s">
        <v>415</v>
      </c>
      <c r="I18" s="155">
        <v>45656</v>
      </c>
      <c r="J18" s="157" t="s">
        <v>169</v>
      </c>
      <c r="K18" s="136" t="s">
        <v>164</v>
      </c>
      <c r="L18" s="136" t="s">
        <v>164</v>
      </c>
      <c r="M18" s="144"/>
    </row>
    <row r="19" spans="1:13" ht="22.5" customHeight="1" x14ac:dyDescent="0.2">
      <c r="A19" s="136">
        <v>310</v>
      </c>
      <c r="B19" s="139" t="str">
        <f>VLOOKUP($A19,PRESUPUESTOS!$A$4:$H$1026,3,FALSE())</f>
        <v>ABSA - LA PLATA</v>
      </c>
      <c r="C19" s="160" t="str">
        <f>VLOOKUP($A19,PRESUPUESTOS!$A$4:$H$1026,5,FALSE())</f>
        <v>ARREGLOS EN GENERAL</v>
      </c>
      <c r="D19" s="159">
        <v>45664</v>
      </c>
      <c r="E19" s="156">
        <v>5136802</v>
      </c>
      <c r="F19" s="142">
        <v>22243813</v>
      </c>
      <c r="G19" s="142">
        <f t="shared" si="0"/>
        <v>17107011</v>
      </c>
      <c r="H19" s="136" t="s">
        <v>415</v>
      </c>
      <c r="I19" s="157"/>
      <c r="J19" s="157" t="s">
        <v>69</v>
      </c>
      <c r="K19" s="136"/>
      <c r="L19" s="136"/>
      <c r="M19" s="144"/>
    </row>
    <row r="20" spans="1:13" ht="22.5" customHeight="1" x14ac:dyDescent="0.2">
      <c r="A20" s="136">
        <v>313</v>
      </c>
      <c r="B20" s="139" t="str">
        <f>VLOOKUP($A20,PRESUPUESTOS!$A$4:$H$1026,3,FALSE())</f>
        <v>SCPL</v>
      </c>
      <c r="C20" s="160" t="str">
        <f>VLOOKUP($A20,PRESUPUESTOS!$A$4:$H$1026,5,FALSE())</f>
        <v xml:space="preserve">TOBERAS Y ABRAZADERAS </v>
      </c>
      <c r="D20" s="155">
        <v>45604</v>
      </c>
      <c r="E20" s="156">
        <v>5388026</v>
      </c>
      <c r="F20" s="142">
        <v>9869493</v>
      </c>
      <c r="G20" s="142">
        <f t="shared" si="0"/>
        <v>4481467</v>
      </c>
      <c r="H20" s="136" t="s">
        <v>415</v>
      </c>
      <c r="I20" s="155">
        <v>45618</v>
      </c>
      <c r="J20" s="157" t="s">
        <v>513</v>
      </c>
      <c r="K20" s="136" t="s">
        <v>164</v>
      </c>
      <c r="L20" s="136" t="s">
        <v>164</v>
      </c>
      <c r="M20" s="149"/>
    </row>
    <row r="21" spans="1:13" ht="22.5" customHeight="1" x14ac:dyDescent="0.2">
      <c r="A21" s="136">
        <v>314</v>
      </c>
      <c r="B21" s="139" t="str">
        <f>VLOOKUP($A21,PRESUPUESTOS!$A$4:$H$1026,3,FALSE())</f>
        <v>M.BERAZATEGUI</v>
      </c>
      <c r="C21" s="160" t="str">
        <f>VLOOKUP($A21,PRESUPUESTOS!$A$4:$H$1026,5,FALSE())</f>
        <v>REPARACION DE BOMBA RODER</v>
      </c>
      <c r="D21" s="155">
        <v>45618</v>
      </c>
      <c r="E21" s="156">
        <v>830457</v>
      </c>
      <c r="F21" s="142">
        <v>3870363</v>
      </c>
      <c r="G21" s="142">
        <f t="shared" si="0"/>
        <v>3039906</v>
      </c>
      <c r="H21" s="136" t="s">
        <v>415</v>
      </c>
      <c r="I21" s="155">
        <v>45630</v>
      </c>
      <c r="J21" s="157" t="s">
        <v>514</v>
      </c>
      <c r="K21" s="136">
        <v>30</v>
      </c>
      <c r="L21" s="136"/>
      <c r="M21" s="144"/>
    </row>
    <row r="22" spans="1:13" ht="22.5" customHeight="1" x14ac:dyDescent="0.2">
      <c r="A22" s="136">
        <v>315</v>
      </c>
      <c r="B22" s="139" t="str">
        <f>VLOOKUP($A22,PRESUPUESTOS!$A$4:$H$1026,3,FALSE())</f>
        <v>ABSA - LA PLATA</v>
      </c>
      <c r="C22" s="160" t="str">
        <f>VLOOKUP($A22,PRESUPUESTOS!$A$4:$H$1026,5,FALSE())</f>
        <v>REPARACION EN GENERAL</v>
      </c>
      <c r="D22" s="159">
        <v>45664</v>
      </c>
      <c r="E22" s="156">
        <v>3898795</v>
      </c>
      <c r="F22" s="142">
        <v>18883614</v>
      </c>
      <c r="G22" s="142">
        <f t="shared" si="0"/>
        <v>14984819</v>
      </c>
      <c r="H22" s="136" t="s">
        <v>415</v>
      </c>
      <c r="I22" s="157"/>
      <c r="J22" s="157" t="s">
        <v>69</v>
      </c>
      <c r="K22" s="136"/>
      <c r="L22" s="136"/>
      <c r="M22" s="144"/>
    </row>
    <row r="23" spans="1:13" ht="22.5" customHeight="1" x14ac:dyDescent="0.2">
      <c r="A23" s="136">
        <v>317</v>
      </c>
      <c r="B23" s="139" t="str">
        <f>VLOOKUP($A23,PRESUPUESTOS!$A$4:$H$1026,3,FALSE())</f>
        <v>MUNICIPALIDAD TRES ARROYOS</v>
      </c>
      <c r="C23" s="160" t="str">
        <f>VLOOKUP($A23,PRESUPUESTOS!$A$4:$H$1026,5,FALSE())</f>
        <v>REPARACION EN GENERAL</v>
      </c>
      <c r="D23" s="159">
        <v>45701</v>
      </c>
      <c r="E23" s="156">
        <v>6923178</v>
      </c>
      <c r="F23" s="142">
        <v>19980631</v>
      </c>
      <c r="G23" s="142">
        <f t="shared" si="0"/>
        <v>13057453</v>
      </c>
      <c r="H23" s="136" t="s">
        <v>415</v>
      </c>
      <c r="I23" s="157"/>
      <c r="J23" s="157" t="s">
        <v>69</v>
      </c>
      <c r="K23" s="136"/>
      <c r="L23" s="136"/>
      <c r="M23" s="144"/>
    </row>
    <row r="24" spans="1:13" ht="22.5" customHeight="1" x14ac:dyDescent="0.2">
      <c r="A24" s="136">
        <v>322</v>
      </c>
      <c r="B24" s="139" t="str">
        <f>VLOOKUP($A24,PRESUPUESTOS!$A$4:$H$1026,3,FALSE())</f>
        <v>ABSA - LINCONL</v>
      </c>
      <c r="C24" s="160" t="str">
        <f>VLOOKUP($A24,PRESUPUESTOS!$A$4:$H$1026,5,FALSE())</f>
        <v>VALVULA Y CODO GIRATORIO</v>
      </c>
      <c r="D24" s="159">
        <v>45692</v>
      </c>
      <c r="E24" s="156">
        <v>1497426</v>
      </c>
      <c r="F24" s="161">
        <v>3687332</v>
      </c>
      <c r="G24" s="142">
        <f t="shared" si="0"/>
        <v>2189906</v>
      </c>
      <c r="H24" s="136" t="s">
        <v>415</v>
      </c>
      <c r="I24" s="157"/>
      <c r="J24" s="157" t="s">
        <v>217</v>
      </c>
      <c r="K24" s="136"/>
      <c r="L24" s="136"/>
      <c r="M24" s="144"/>
    </row>
    <row r="25" spans="1:13" ht="22.5" customHeight="1" x14ac:dyDescent="0.2">
      <c r="A25" s="136">
        <v>324</v>
      </c>
      <c r="B25" s="139" t="str">
        <f>VLOOKUP($A25,PRESUPUESTOS!$A$4:$H$1026,3,FALSE())</f>
        <v>ADESSOTECH</v>
      </c>
      <c r="C25" s="140" t="str">
        <f>VLOOKUP($A25,PRESUPUESTOS!$A$4:$H$1026,5,FALSE())</f>
        <v>TOBERA ALUMINIO 1"</v>
      </c>
      <c r="D25" s="159">
        <v>45672</v>
      </c>
      <c r="E25" s="156">
        <v>659465</v>
      </c>
      <c r="F25" s="142">
        <v>1500333</v>
      </c>
      <c r="G25" s="142">
        <f t="shared" si="0"/>
        <v>840868</v>
      </c>
      <c r="H25" s="136" t="s">
        <v>415</v>
      </c>
      <c r="I25" s="159">
        <v>45674</v>
      </c>
      <c r="J25" s="157" t="s">
        <v>426</v>
      </c>
      <c r="K25" s="136" t="s">
        <v>164</v>
      </c>
      <c r="L25" s="136" t="s">
        <v>164</v>
      </c>
      <c r="M25" s="153" t="s">
        <v>515</v>
      </c>
    </row>
    <row r="26" spans="1:13" ht="22.5" customHeight="1" x14ac:dyDescent="0.2">
      <c r="A26" s="136">
        <v>326</v>
      </c>
      <c r="B26" s="139" t="str">
        <f>VLOOKUP($A26,PRESUPUESTOS!$A$4:$H$1026,3,FALSE())</f>
        <v>SERVICIOS IBARRA</v>
      </c>
      <c r="C26" s="160" t="str">
        <f>VLOOKUP($A26,PRESUPUESTOS!$A$4:$H$1026,5,FALSE())</f>
        <v>TANQUE DE AGUA LADO CHOFER</v>
      </c>
      <c r="D26" s="159">
        <v>45692</v>
      </c>
      <c r="E26" s="156">
        <v>3248850</v>
      </c>
      <c r="F26" s="45">
        <v>9580780</v>
      </c>
      <c r="G26" s="142">
        <f t="shared" si="0"/>
        <v>6331930</v>
      </c>
      <c r="H26" s="136" t="s">
        <v>415</v>
      </c>
      <c r="I26" s="136" t="s">
        <v>516</v>
      </c>
      <c r="J26" s="157" t="s">
        <v>429</v>
      </c>
      <c r="K26" s="136"/>
      <c r="L26" s="136"/>
      <c r="M26" s="144"/>
    </row>
    <row r="27" spans="1:13" ht="22.5" customHeight="1" x14ac:dyDescent="0.2">
      <c r="A27" s="136">
        <v>327</v>
      </c>
      <c r="B27" s="139" t="str">
        <f>VLOOKUP($A27,PRESUPUESTOS!$A$4:$H$1026,3,FALSE())</f>
        <v>ABSA - LINCONL</v>
      </c>
      <c r="C27" s="160" t="str">
        <f>VLOOKUP($A27,PRESUPUESTOS!$A$4:$H$1026,5,FALSE())</f>
        <v>TAPA  DE TANQUE DESPERDICIO</v>
      </c>
      <c r="D27" s="159">
        <v>45698</v>
      </c>
      <c r="E27" s="156">
        <v>6014400</v>
      </c>
      <c r="F27" s="45">
        <v>15584770</v>
      </c>
      <c r="G27" s="142">
        <f t="shared" si="0"/>
        <v>9570370</v>
      </c>
      <c r="H27" s="136" t="s">
        <v>415</v>
      </c>
      <c r="I27" s="157"/>
      <c r="J27" s="157" t="s">
        <v>432</v>
      </c>
      <c r="K27" s="136"/>
      <c r="L27" s="136"/>
      <c r="M27" s="144"/>
    </row>
    <row r="28" spans="1:13" ht="22.5" customHeight="1" x14ac:dyDescent="0.2">
      <c r="A28" s="136">
        <v>330</v>
      </c>
      <c r="B28" s="139" t="str">
        <f>VLOOKUP($A28,PRESUPUESTOS!$A$4:$H$1026,3,FALSE())</f>
        <v>MUNICIPALIDAD DE JUNIN</v>
      </c>
      <c r="C28" s="160" t="str">
        <f>VLOOKUP($A28,PRESUPUESTOS!$A$4:$H$1026,5,FALSE())</f>
        <v>MANGUERA DESOBSTRUCTORA</v>
      </c>
      <c r="D28" s="159">
        <v>45722</v>
      </c>
      <c r="E28" s="156"/>
      <c r="F28" s="142">
        <v>8482882</v>
      </c>
      <c r="G28" s="142">
        <f t="shared" si="0"/>
        <v>8482882</v>
      </c>
      <c r="H28" s="136" t="s">
        <v>415</v>
      </c>
      <c r="I28" s="159">
        <v>45785</v>
      </c>
      <c r="J28" s="157" t="s">
        <v>436</v>
      </c>
      <c r="K28" s="136"/>
      <c r="L28" s="136"/>
      <c r="M28" s="144"/>
    </row>
    <row r="29" spans="1:13" ht="22.5" customHeight="1" x14ac:dyDescent="0.2">
      <c r="A29" s="162"/>
      <c r="B29" s="163"/>
      <c r="C29" s="164"/>
      <c r="D29" s="162"/>
      <c r="E29" s="165"/>
      <c r="F29" s="166"/>
      <c r="G29" s="166"/>
      <c r="H29" s="162"/>
      <c r="I29" s="167"/>
      <c r="J29" s="167"/>
      <c r="K29" s="162"/>
      <c r="L29" s="162"/>
      <c r="M29" s="153"/>
    </row>
    <row r="30" spans="1:13" ht="22.5" customHeight="1" x14ac:dyDescent="0.2">
      <c r="A30" s="136"/>
      <c r="B30" s="139" t="e">
        <f>VLOOKUP($A30,PRESUPUESTOS!$A$4:$H$1026,3,FALSE())</f>
        <v>#N/A</v>
      </c>
      <c r="C30" s="140" t="e">
        <f>VLOOKUP($A30,PRESUPUESTOS!$A$4:$H$1026,5,FALSE())</f>
        <v>#N/A</v>
      </c>
      <c r="D30" s="76"/>
      <c r="E30" s="168"/>
      <c r="F30" s="142"/>
      <c r="G30" s="169">
        <f t="shared" ref="G30:G51" si="1">F30-E30</f>
        <v>0</v>
      </c>
      <c r="H30" s="76"/>
      <c r="I30" s="170"/>
      <c r="J30" s="170"/>
      <c r="K30" s="76"/>
      <c r="L30" s="76"/>
      <c r="M30" s="144"/>
    </row>
    <row r="31" spans="1:13" ht="22.5" customHeight="1" x14ac:dyDescent="0.2">
      <c r="A31" s="136"/>
      <c r="B31" s="139" t="e">
        <f>VLOOKUP($A31,PRESUPUESTOS!$A$4:$H$1026,3,FALSE())</f>
        <v>#N/A</v>
      </c>
      <c r="C31" s="140" t="e">
        <f>VLOOKUP($A31,PRESUPUESTOS!$A$4:$H$1026,5,FALSE())</f>
        <v>#N/A</v>
      </c>
      <c r="D31" s="76"/>
      <c r="E31" s="168"/>
      <c r="F31" s="142"/>
      <c r="G31" s="169">
        <f t="shared" si="1"/>
        <v>0</v>
      </c>
      <c r="H31" s="76"/>
      <c r="I31" s="170"/>
      <c r="J31" s="170"/>
      <c r="K31" s="76"/>
      <c r="L31" s="76"/>
      <c r="M31" s="144"/>
    </row>
    <row r="32" spans="1:13" ht="22.5" customHeight="1" x14ac:dyDescent="0.2">
      <c r="A32" s="136"/>
      <c r="B32" s="139" t="e">
        <f>VLOOKUP($A32,PRESUPUESTOS!$A$4:$H$1026,3,FALSE())</f>
        <v>#N/A</v>
      </c>
      <c r="C32" s="140" t="e">
        <f>VLOOKUP($A32,PRESUPUESTOS!$A$4:$H$1026,5,FALSE())</f>
        <v>#N/A</v>
      </c>
      <c r="D32" s="76"/>
      <c r="E32" s="168"/>
      <c r="F32" s="142"/>
      <c r="G32" s="169">
        <f t="shared" si="1"/>
        <v>0</v>
      </c>
      <c r="H32" s="76"/>
      <c r="I32" s="170"/>
      <c r="J32" s="170"/>
      <c r="K32" s="76"/>
      <c r="L32" s="76"/>
      <c r="M32" s="144"/>
    </row>
    <row r="33" spans="1:13" ht="22.5" customHeight="1" x14ac:dyDescent="0.2">
      <c r="A33" s="136"/>
      <c r="B33" s="139" t="e">
        <f>VLOOKUP($A33,PRESUPUESTOS!$A$4:$H$1026,3,FALSE())</f>
        <v>#N/A</v>
      </c>
      <c r="C33" s="140" t="e">
        <f>VLOOKUP($A33,PRESUPUESTOS!$A$4:$H$1026,5,FALSE())</f>
        <v>#N/A</v>
      </c>
      <c r="D33" s="76"/>
      <c r="E33" s="168"/>
      <c r="F33" s="142"/>
      <c r="G33" s="169">
        <f t="shared" si="1"/>
        <v>0</v>
      </c>
      <c r="H33" s="76"/>
      <c r="I33" s="170"/>
      <c r="J33" s="170"/>
      <c r="K33" s="76"/>
      <c r="L33" s="76"/>
      <c r="M33" s="144"/>
    </row>
    <row r="34" spans="1:13" ht="22.5" customHeight="1" x14ac:dyDescent="0.2">
      <c r="A34" s="136"/>
      <c r="B34" s="139" t="e">
        <f>VLOOKUP($A34,PRESUPUESTOS!$A$4:$H$1026,3,FALSE())</f>
        <v>#N/A</v>
      </c>
      <c r="C34" s="140" t="e">
        <f>VLOOKUP($A34,PRESUPUESTOS!$A$4:$H$1026,5,FALSE())</f>
        <v>#N/A</v>
      </c>
      <c r="D34" s="76"/>
      <c r="E34" s="168"/>
      <c r="F34" s="142"/>
      <c r="G34" s="169">
        <f t="shared" si="1"/>
        <v>0</v>
      </c>
      <c r="H34" s="76"/>
      <c r="I34" s="170"/>
      <c r="J34" s="170"/>
      <c r="K34" s="76"/>
      <c r="L34" s="76"/>
      <c r="M34" s="144"/>
    </row>
    <row r="35" spans="1:13" ht="22.5" customHeight="1" x14ac:dyDescent="0.2">
      <c r="A35" s="136"/>
      <c r="B35" s="139" t="e">
        <f>VLOOKUP($A35,PRESUPUESTOS!$A$4:$H$1026,3,FALSE())</f>
        <v>#N/A</v>
      </c>
      <c r="C35" s="140" t="e">
        <f>VLOOKUP($A35,PRESUPUESTOS!$A$4:$H$1026,5,FALSE())</f>
        <v>#N/A</v>
      </c>
      <c r="D35" s="76"/>
      <c r="E35" s="168"/>
      <c r="F35" s="142"/>
      <c r="G35" s="169">
        <f t="shared" si="1"/>
        <v>0</v>
      </c>
      <c r="H35" s="76"/>
      <c r="I35" s="170"/>
      <c r="J35" s="170"/>
      <c r="K35" s="76"/>
      <c r="L35" s="76"/>
      <c r="M35" s="144"/>
    </row>
    <row r="36" spans="1:13" ht="22.5" customHeight="1" x14ac:dyDescent="0.2">
      <c r="A36" s="136"/>
      <c r="B36" s="139" t="e">
        <f>VLOOKUP($A36,PRESUPUESTOS!$A$4:$H$1026,3,FALSE())</f>
        <v>#N/A</v>
      </c>
      <c r="C36" s="140" t="e">
        <f>VLOOKUP($A36,PRESUPUESTOS!$A$4:$H$1026,5,FALSE())</f>
        <v>#N/A</v>
      </c>
      <c r="D36" s="76"/>
      <c r="E36" s="168"/>
      <c r="F36" s="142"/>
      <c r="G36" s="169">
        <f t="shared" si="1"/>
        <v>0</v>
      </c>
      <c r="H36" s="76"/>
      <c r="I36" s="170"/>
      <c r="J36" s="170"/>
      <c r="K36" s="76"/>
      <c r="L36" s="76"/>
      <c r="M36" s="144"/>
    </row>
    <row r="37" spans="1:13" ht="22.5" customHeight="1" x14ac:dyDescent="0.2">
      <c r="A37" s="136"/>
      <c r="B37" s="139" t="e">
        <f>VLOOKUP($A37,PRESUPUESTOS!$A$4:$H$1026,3,FALSE())</f>
        <v>#N/A</v>
      </c>
      <c r="C37" s="140" t="e">
        <f>VLOOKUP($A37,PRESUPUESTOS!$A$4:$H$1026,5,FALSE())</f>
        <v>#N/A</v>
      </c>
      <c r="D37" s="76"/>
      <c r="E37" s="168"/>
      <c r="F37" s="142"/>
      <c r="G37" s="169">
        <f t="shared" si="1"/>
        <v>0</v>
      </c>
      <c r="H37" s="76"/>
      <c r="I37" s="170"/>
      <c r="J37" s="170"/>
      <c r="K37" s="76"/>
      <c r="L37" s="76"/>
      <c r="M37" s="144"/>
    </row>
    <row r="38" spans="1:13" ht="22.5" customHeight="1" x14ac:dyDescent="0.2">
      <c r="A38" s="136"/>
      <c r="B38" s="139" t="e">
        <f>VLOOKUP($A38,PRESUPUESTOS!$A$4:$H$1026,3,FALSE())</f>
        <v>#N/A</v>
      </c>
      <c r="C38" s="140" t="e">
        <f>VLOOKUP($A38,PRESUPUESTOS!$A$4:$H$1026,5,FALSE())</f>
        <v>#N/A</v>
      </c>
      <c r="D38" s="76"/>
      <c r="E38" s="168"/>
      <c r="F38" s="142"/>
      <c r="G38" s="169">
        <f t="shared" si="1"/>
        <v>0</v>
      </c>
      <c r="H38" s="76"/>
      <c r="I38" s="170"/>
      <c r="J38" s="170"/>
      <c r="K38" s="76"/>
      <c r="L38" s="76"/>
      <c r="M38" s="144"/>
    </row>
    <row r="39" spans="1:13" ht="22.5" customHeight="1" x14ac:dyDescent="0.2">
      <c r="A39" s="136"/>
      <c r="B39" s="139" t="e">
        <f>VLOOKUP($A39,PRESUPUESTOS!$A$4:$H$1026,3,FALSE())</f>
        <v>#N/A</v>
      </c>
      <c r="C39" s="140" t="e">
        <f>VLOOKUP($A39,PRESUPUESTOS!$A$4:$H$1026,5,FALSE())</f>
        <v>#N/A</v>
      </c>
      <c r="D39" s="76"/>
      <c r="E39" s="168"/>
      <c r="F39" s="142"/>
      <c r="G39" s="169">
        <f t="shared" si="1"/>
        <v>0</v>
      </c>
      <c r="H39" s="76"/>
      <c r="I39" s="170"/>
      <c r="J39" s="170"/>
      <c r="K39" s="76"/>
      <c r="L39" s="76"/>
      <c r="M39" s="144"/>
    </row>
    <row r="40" spans="1:13" ht="22.5" customHeight="1" x14ac:dyDescent="0.2">
      <c r="A40" s="136"/>
      <c r="B40" s="139" t="e">
        <f>VLOOKUP($A40,PRESUPUESTOS!$A$4:$H$1026,3,FALSE())</f>
        <v>#N/A</v>
      </c>
      <c r="C40" s="140" t="e">
        <f>VLOOKUP($A40,PRESUPUESTOS!$A$4:$H$1026,5,FALSE())</f>
        <v>#N/A</v>
      </c>
      <c r="D40" s="76"/>
      <c r="E40" s="168"/>
      <c r="F40" s="142"/>
      <c r="G40" s="169">
        <f t="shared" si="1"/>
        <v>0</v>
      </c>
      <c r="H40" s="76"/>
      <c r="I40" s="170"/>
      <c r="J40" s="170"/>
      <c r="K40" s="76"/>
      <c r="L40" s="76"/>
      <c r="M40" s="144"/>
    </row>
    <row r="41" spans="1:13" ht="22.5" customHeight="1" x14ac:dyDescent="0.2">
      <c r="A41" s="136"/>
      <c r="B41" s="139" t="e">
        <f>VLOOKUP($A41,PRESUPUESTOS!$A$4:$H$1026,3,FALSE())</f>
        <v>#N/A</v>
      </c>
      <c r="C41" s="140" t="e">
        <f>VLOOKUP($A41,PRESUPUESTOS!$A$4:$H$1026,5,FALSE())</f>
        <v>#N/A</v>
      </c>
      <c r="D41" s="76"/>
      <c r="E41" s="168"/>
      <c r="F41" s="142"/>
      <c r="G41" s="169">
        <f t="shared" si="1"/>
        <v>0</v>
      </c>
      <c r="H41" s="76"/>
      <c r="I41" s="170"/>
      <c r="J41" s="170"/>
      <c r="K41" s="76"/>
      <c r="L41" s="76"/>
      <c r="M41" s="144"/>
    </row>
    <row r="42" spans="1:13" ht="22.5" customHeight="1" x14ac:dyDescent="0.2">
      <c r="A42" s="136"/>
      <c r="B42" s="139" t="e">
        <f>VLOOKUP($A42,PRESUPUESTOS!$A$4:$H$1026,3,FALSE())</f>
        <v>#N/A</v>
      </c>
      <c r="C42" s="140" t="e">
        <f>VLOOKUP($A42,PRESUPUESTOS!$A$4:$H$1026,5,FALSE())</f>
        <v>#N/A</v>
      </c>
      <c r="D42" s="76"/>
      <c r="E42" s="168"/>
      <c r="F42" s="142"/>
      <c r="G42" s="169">
        <f t="shared" si="1"/>
        <v>0</v>
      </c>
      <c r="H42" s="76"/>
      <c r="I42" s="170"/>
      <c r="J42" s="170"/>
      <c r="K42" s="76"/>
      <c r="L42" s="76"/>
      <c r="M42" s="144"/>
    </row>
    <row r="43" spans="1:13" ht="22.5" customHeight="1" x14ac:dyDescent="0.2">
      <c r="A43" s="136"/>
      <c r="B43" s="139" t="e">
        <f>VLOOKUP($A43,PRESUPUESTOS!$A$4:$H$1026,3,FALSE())</f>
        <v>#N/A</v>
      </c>
      <c r="C43" s="140" t="e">
        <f>VLOOKUP($A43,PRESUPUESTOS!$A$4:$H$1026,5,FALSE())</f>
        <v>#N/A</v>
      </c>
      <c r="D43" s="76"/>
      <c r="E43" s="168"/>
      <c r="F43" s="142"/>
      <c r="G43" s="169">
        <f t="shared" si="1"/>
        <v>0</v>
      </c>
      <c r="H43" s="76"/>
      <c r="I43" s="170"/>
      <c r="J43" s="170"/>
      <c r="K43" s="76"/>
      <c r="L43" s="76"/>
      <c r="M43" s="144"/>
    </row>
    <row r="44" spans="1:13" ht="22.5" customHeight="1" x14ac:dyDescent="0.2">
      <c r="A44" s="136"/>
      <c r="B44" s="139" t="e">
        <f>VLOOKUP($A44,PRESUPUESTOS!$A$4:$H$1026,3,FALSE())</f>
        <v>#N/A</v>
      </c>
      <c r="C44" s="140" t="e">
        <f>VLOOKUP($A44,PRESUPUESTOS!$A$4:$H$1026,5,FALSE())</f>
        <v>#N/A</v>
      </c>
      <c r="D44" s="76"/>
      <c r="E44" s="168"/>
      <c r="F44" s="142"/>
      <c r="G44" s="169">
        <f t="shared" si="1"/>
        <v>0</v>
      </c>
      <c r="H44" s="76"/>
      <c r="I44" s="170"/>
      <c r="J44" s="170"/>
      <c r="K44" s="76"/>
      <c r="L44" s="76"/>
      <c r="M44" s="144"/>
    </row>
    <row r="45" spans="1:13" ht="22.5" customHeight="1" x14ac:dyDescent="0.2">
      <c r="A45" s="136"/>
      <c r="B45" s="139" t="e">
        <f>VLOOKUP($A45,PRESUPUESTOS!$A$4:$H$1026,3,FALSE())</f>
        <v>#N/A</v>
      </c>
      <c r="C45" s="140" t="e">
        <f>VLOOKUP($A45,PRESUPUESTOS!$A$4:$H$1026,5,FALSE())</f>
        <v>#N/A</v>
      </c>
      <c r="D45" s="76"/>
      <c r="E45" s="168"/>
      <c r="F45" s="142"/>
      <c r="G45" s="169">
        <f t="shared" si="1"/>
        <v>0</v>
      </c>
      <c r="H45" s="76"/>
      <c r="I45" s="170"/>
      <c r="J45" s="170"/>
      <c r="K45" s="76"/>
      <c r="L45" s="76"/>
      <c r="M45" s="144"/>
    </row>
    <row r="46" spans="1:13" ht="22.5" customHeight="1" x14ac:dyDescent="0.2">
      <c r="A46" s="136"/>
      <c r="B46" s="139" t="e">
        <f>VLOOKUP($A46,PRESUPUESTOS!$A$4:$H$1026,3,FALSE())</f>
        <v>#N/A</v>
      </c>
      <c r="C46" s="140" t="e">
        <f>VLOOKUP($A46,PRESUPUESTOS!$A$4:$H$1026,5,FALSE())</f>
        <v>#N/A</v>
      </c>
      <c r="D46" s="76"/>
      <c r="E46" s="168"/>
      <c r="F46" s="142"/>
      <c r="G46" s="169">
        <f t="shared" si="1"/>
        <v>0</v>
      </c>
      <c r="H46" s="76"/>
      <c r="I46" s="170"/>
      <c r="J46" s="170"/>
      <c r="K46" s="76"/>
      <c r="L46" s="76"/>
      <c r="M46" s="144"/>
    </row>
    <row r="47" spans="1:13" ht="22.5" customHeight="1" x14ac:dyDescent="0.2">
      <c r="A47" s="136"/>
      <c r="B47" s="139" t="e">
        <f>VLOOKUP($A47,PRESUPUESTOS!$A$4:$H$1026,3,FALSE())</f>
        <v>#N/A</v>
      </c>
      <c r="C47" s="140" t="e">
        <f>VLOOKUP($A47,PRESUPUESTOS!$A$4:$H$1026,5,FALSE())</f>
        <v>#N/A</v>
      </c>
      <c r="D47" s="76"/>
      <c r="E47" s="168"/>
      <c r="F47" s="142"/>
      <c r="G47" s="169">
        <f t="shared" si="1"/>
        <v>0</v>
      </c>
      <c r="H47" s="76"/>
      <c r="I47" s="170"/>
      <c r="J47" s="170"/>
      <c r="K47" s="76"/>
      <c r="L47" s="76"/>
      <c r="M47" s="144"/>
    </row>
    <row r="48" spans="1:13" ht="22.5" customHeight="1" x14ac:dyDescent="0.2">
      <c r="A48" s="136"/>
      <c r="B48" s="139" t="e">
        <f>VLOOKUP($A48,PRESUPUESTOS!$A$4:$H$1026,3,FALSE())</f>
        <v>#N/A</v>
      </c>
      <c r="C48" s="140" t="e">
        <f>VLOOKUP($A48,PRESUPUESTOS!$A$4:$H$1026,5,FALSE())</f>
        <v>#N/A</v>
      </c>
      <c r="D48" s="76"/>
      <c r="E48" s="168"/>
      <c r="F48" s="142"/>
      <c r="G48" s="169">
        <f t="shared" si="1"/>
        <v>0</v>
      </c>
      <c r="H48" s="76"/>
      <c r="I48" s="170"/>
      <c r="J48" s="170"/>
      <c r="K48" s="76"/>
      <c r="L48" s="76"/>
      <c r="M48" s="144"/>
    </row>
    <row r="49" spans="1:13" ht="22.5" customHeight="1" x14ac:dyDescent="0.2">
      <c r="A49" s="136"/>
      <c r="B49" s="139" t="e">
        <f>VLOOKUP($A49,PRESUPUESTOS!$A$4:$H$1026,3,FALSE())</f>
        <v>#N/A</v>
      </c>
      <c r="C49" s="140" t="e">
        <f>VLOOKUP($A49,PRESUPUESTOS!$A$4:$H$1026,5,FALSE())</f>
        <v>#N/A</v>
      </c>
      <c r="D49" s="76"/>
      <c r="E49" s="168"/>
      <c r="F49" s="142"/>
      <c r="G49" s="169">
        <f t="shared" si="1"/>
        <v>0</v>
      </c>
      <c r="H49" s="76"/>
      <c r="I49" s="170"/>
      <c r="J49" s="170"/>
      <c r="K49" s="76"/>
      <c r="L49" s="76"/>
      <c r="M49" s="144"/>
    </row>
    <row r="50" spans="1:13" ht="22.5" customHeight="1" x14ac:dyDescent="0.2">
      <c r="A50" s="136"/>
      <c r="B50" s="139" t="e">
        <f>VLOOKUP($A50,PRESUPUESTOS!$A$4:$H$1026,3,FALSE())</f>
        <v>#N/A</v>
      </c>
      <c r="C50" s="140" t="e">
        <f>VLOOKUP($A50,PRESUPUESTOS!$A$4:$H$1026,5,FALSE())</f>
        <v>#N/A</v>
      </c>
      <c r="D50" s="76"/>
      <c r="E50" s="168"/>
      <c r="F50" s="142"/>
      <c r="G50" s="169">
        <f t="shared" si="1"/>
        <v>0</v>
      </c>
      <c r="H50" s="76"/>
      <c r="I50" s="170"/>
      <c r="J50" s="170"/>
      <c r="K50" s="76"/>
      <c r="L50" s="76"/>
      <c r="M50" s="144"/>
    </row>
    <row r="51" spans="1:13" ht="22.5" customHeight="1" x14ac:dyDescent="0.2">
      <c r="A51" s="135"/>
      <c r="B51" s="139" t="e">
        <f>VLOOKUP($A51,PRESUPUESTOS!$A$4:$H$1026,3,FALSE())</f>
        <v>#N/A</v>
      </c>
      <c r="C51" s="140" t="e">
        <f>VLOOKUP($A51,PRESUPUESTOS!$A$4:$H$1026,5,FALSE())</f>
        <v>#N/A</v>
      </c>
      <c r="D51" s="138"/>
      <c r="E51" s="141"/>
      <c r="F51" s="142"/>
      <c r="G51" s="169">
        <f t="shared" si="1"/>
        <v>0</v>
      </c>
      <c r="H51" s="138"/>
      <c r="I51" s="171"/>
      <c r="J51" s="171"/>
      <c r="K51" s="138"/>
      <c r="L51" s="138"/>
      <c r="M51" s="149"/>
    </row>
    <row r="52" spans="1:13" ht="25.5" customHeight="1" x14ac:dyDescent="0.25">
      <c r="A52" s="172"/>
      <c r="B52" s="173"/>
      <c r="C52" s="174"/>
      <c r="D52" s="175"/>
      <c r="E52" s="176" t="s">
        <v>517</v>
      </c>
      <c r="F52" s="177" t="s">
        <v>518</v>
      </c>
      <c r="G52" s="177" t="s">
        <v>519</v>
      </c>
      <c r="H52" s="175"/>
      <c r="I52" s="178"/>
      <c r="J52" s="178"/>
      <c r="K52" s="175"/>
      <c r="L52" s="175"/>
    </row>
  </sheetData>
  <autoFilter ref="D1:D1016" xr:uid="{00000000-0009-0000-0000-000002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84"/>
  <sheetViews>
    <sheetView workbookViewId="0">
      <selection activeCell="B3" sqref="B3"/>
    </sheetView>
  </sheetViews>
  <sheetFormatPr baseColWidth="10" defaultColWidth="12.6640625" defaultRowHeight="15.75" customHeight="1" x14ac:dyDescent="0.15"/>
  <cols>
    <col min="1" max="1" width="4.1640625" customWidth="1"/>
    <col min="2" max="2" width="8.1640625" customWidth="1"/>
    <col min="3" max="3" width="27.83203125" customWidth="1"/>
    <col min="4" max="4" width="24.1640625" customWidth="1"/>
    <col min="5" max="5" width="34.83203125" customWidth="1"/>
    <col min="6" max="6" width="15.6640625" customWidth="1"/>
    <col min="7" max="7" width="17.6640625" customWidth="1"/>
    <col min="8" max="8" width="94.6640625" customWidth="1"/>
  </cols>
  <sheetData>
    <row r="1" spans="1:8" ht="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customHeight="1" x14ac:dyDescent="0.2">
      <c r="A2" s="2">
        <v>248</v>
      </c>
      <c r="B2" s="3"/>
      <c r="C2" s="3" t="s">
        <v>8</v>
      </c>
      <c r="D2" s="2" t="s">
        <v>9</v>
      </c>
      <c r="E2" s="2"/>
      <c r="F2" s="4" t="s">
        <v>10</v>
      </c>
      <c r="G2" s="5" t="s">
        <v>10</v>
      </c>
    </row>
    <row r="3" spans="1:8" ht="18.75" customHeight="1" x14ac:dyDescent="0.2">
      <c r="A3" s="2">
        <v>2</v>
      </c>
      <c r="B3" s="3"/>
      <c r="C3" s="3" t="s">
        <v>11</v>
      </c>
      <c r="D3" s="2" t="s">
        <v>12</v>
      </c>
      <c r="E3" s="2"/>
      <c r="F3" s="4" t="s">
        <v>10</v>
      </c>
      <c r="G3" s="5" t="s">
        <v>10</v>
      </c>
    </row>
    <row r="4" spans="1:8" ht="16" x14ac:dyDescent="0.15">
      <c r="A4" s="6">
        <v>230</v>
      </c>
      <c r="B4" s="7">
        <v>45338</v>
      </c>
      <c r="C4" s="8" t="s">
        <v>13</v>
      </c>
      <c r="D4" s="8" t="s">
        <v>14</v>
      </c>
      <c r="E4" s="9" t="s">
        <v>15</v>
      </c>
      <c r="F4" s="10" t="s">
        <v>16</v>
      </c>
      <c r="G4" s="8" t="s">
        <v>17</v>
      </c>
      <c r="H4" s="8" t="s">
        <v>18</v>
      </c>
    </row>
    <row r="5" spans="1:8" ht="16" x14ac:dyDescent="0.2">
      <c r="A5" s="2">
        <v>1</v>
      </c>
      <c r="B5" s="3"/>
      <c r="C5" s="3" t="s">
        <v>19</v>
      </c>
      <c r="D5" s="2" t="s">
        <v>20</v>
      </c>
      <c r="E5" s="11"/>
      <c r="F5" s="12" t="s">
        <v>21</v>
      </c>
      <c r="G5" s="13" t="s">
        <v>17</v>
      </c>
    </row>
    <row r="6" spans="1:8" ht="16" x14ac:dyDescent="0.15">
      <c r="A6" s="6">
        <v>238</v>
      </c>
      <c r="B6" s="7">
        <v>45373</v>
      </c>
      <c r="C6" s="8" t="s">
        <v>22</v>
      </c>
      <c r="D6" s="8" t="s">
        <v>23</v>
      </c>
      <c r="E6" s="9"/>
      <c r="F6" s="10" t="s">
        <v>24</v>
      </c>
      <c r="G6" s="8" t="s">
        <v>17</v>
      </c>
      <c r="H6" s="8" t="s">
        <v>25</v>
      </c>
    </row>
    <row r="7" spans="1:8" ht="16" x14ac:dyDescent="0.15">
      <c r="A7" s="6">
        <v>241</v>
      </c>
      <c r="B7" s="7">
        <v>45300</v>
      </c>
      <c r="C7" s="8" t="s">
        <v>22</v>
      </c>
      <c r="D7" s="8" t="s">
        <v>26</v>
      </c>
      <c r="E7" s="9"/>
      <c r="F7" s="10" t="s">
        <v>24</v>
      </c>
      <c r="G7" s="8" t="s">
        <v>17</v>
      </c>
      <c r="H7" s="8" t="s">
        <v>27</v>
      </c>
    </row>
    <row r="8" spans="1:8" ht="16" x14ac:dyDescent="0.2">
      <c r="A8" s="2">
        <v>245</v>
      </c>
      <c r="B8" s="3"/>
      <c r="C8" s="3" t="s">
        <v>28</v>
      </c>
      <c r="D8" s="2" t="s">
        <v>29</v>
      </c>
      <c r="E8" s="2"/>
      <c r="F8" s="4" t="s">
        <v>30</v>
      </c>
      <c r="G8" s="5" t="s">
        <v>31</v>
      </c>
    </row>
    <row r="9" spans="1:8" ht="16" x14ac:dyDescent="0.2">
      <c r="A9" s="2">
        <v>247</v>
      </c>
      <c r="B9" s="3"/>
      <c r="C9" s="3" t="s">
        <v>28</v>
      </c>
      <c r="D9" s="2" t="s">
        <v>32</v>
      </c>
      <c r="E9" s="2"/>
      <c r="F9" s="4" t="s">
        <v>30</v>
      </c>
      <c r="G9" s="14" t="s">
        <v>31</v>
      </c>
    </row>
    <row r="10" spans="1:8" ht="48" x14ac:dyDescent="0.15">
      <c r="A10" s="6">
        <v>242</v>
      </c>
      <c r="B10" s="8"/>
      <c r="C10" s="8" t="s">
        <v>33</v>
      </c>
      <c r="D10" s="8" t="s">
        <v>34</v>
      </c>
      <c r="E10" s="9" t="s">
        <v>35</v>
      </c>
      <c r="F10" s="10" t="s">
        <v>24</v>
      </c>
      <c r="G10" s="15" t="s">
        <v>36</v>
      </c>
      <c r="H10" s="8" t="s">
        <v>35</v>
      </c>
    </row>
    <row r="11" spans="1:8" ht="16" x14ac:dyDescent="0.2">
      <c r="A11" s="2">
        <v>246</v>
      </c>
      <c r="B11" s="3"/>
      <c r="C11" s="3" t="s">
        <v>28</v>
      </c>
      <c r="D11" s="2" t="s">
        <v>37</v>
      </c>
      <c r="E11" s="2"/>
      <c r="F11" s="4" t="s">
        <v>38</v>
      </c>
      <c r="G11" s="14" t="s">
        <v>31</v>
      </c>
    </row>
    <row r="12" spans="1:8" ht="48" x14ac:dyDescent="0.15">
      <c r="A12" s="6">
        <v>243</v>
      </c>
      <c r="B12" s="8"/>
      <c r="C12" s="8" t="s">
        <v>33</v>
      </c>
      <c r="D12" s="8" t="s">
        <v>39</v>
      </c>
      <c r="E12" s="9" t="s">
        <v>35</v>
      </c>
      <c r="F12" s="10" t="s">
        <v>24</v>
      </c>
      <c r="G12" s="15" t="s">
        <v>36</v>
      </c>
      <c r="H12" s="8" t="s">
        <v>35</v>
      </c>
    </row>
    <row r="13" spans="1:8" ht="48" x14ac:dyDescent="0.15">
      <c r="A13" s="6">
        <v>244</v>
      </c>
      <c r="B13" s="8"/>
      <c r="C13" s="8" t="s">
        <v>33</v>
      </c>
      <c r="D13" s="8" t="s">
        <v>40</v>
      </c>
      <c r="E13" s="9" t="s">
        <v>41</v>
      </c>
      <c r="F13" s="16" t="s">
        <v>42</v>
      </c>
      <c r="G13" s="15" t="s">
        <v>36</v>
      </c>
      <c r="H13" s="8" t="s">
        <v>41</v>
      </c>
    </row>
    <row r="14" spans="1:8" ht="16" x14ac:dyDescent="0.15">
      <c r="A14" s="6">
        <v>249</v>
      </c>
      <c r="B14" s="7">
        <v>45355</v>
      </c>
      <c r="C14" s="8" t="s">
        <v>43</v>
      </c>
      <c r="D14" s="8" t="s">
        <v>44</v>
      </c>
      <c r="E14" s="9" t="s">
        <v>45</v>
      </c>
      <c r="F14" s="10" t="s">
        <v>46</v>
      </c>
      <c r="G14" s="8" t="s">
        <v>17</v>
      </c>
      <c r="H14" s="8"/>
    </row>
    <row r="15" spans="1:8" ht="16" x14ac:dyDescent="0.2">
      <c r="A15" s="2">
        <v>250</v>
      </c>
      <c r="B15" s="3"/>
      <c r="C15" s="3" t="s">
        <v>47</v>
      </c>
      <c r="D15" s="2" t="s">
        <v>48</v>
      </c>
      <c r="E15" s="2"/>
      <c r="F15" s="4" t="s">
        <v>38</v>
      </c>
      <c r="G15" s="5" t="s">
        <v>31</v>
      </c>
    </row>
    <row r="16" spans="1:8" ht="48" x14ac:dyDescent="0.15">
      <c r="A16" s="6">
        <v>251</v>
      </c>
      <c r="B16" s="7">
        <v>45387</v>
      </c>
      <c r="C16" s="8" t="s">
        <v>49</v>
      </c>
      <c r="D16" s="8" t="s">
        <v>50</v>
      </c>
      <c r="E16" s="9" t="s">
        <v>51</v>
      </c>
      <c r="F16" s="16">
        <v>1400908.15</v>
      </c>
      <c r="G16" s="8" t="s">
        <v>36</v>
      </c>
      <c r="H16" s="8"/>
    </row>
    <row r="17" spans="1:8" ht="32" x14ac:dyDescent="0.15">
      <c r="A17" s="6">
        <v>252</v>
      </c>
      <c r="B17" s="8"/>
      <c r="C17" s="8" t="s">
        <v>52</v>
      </c>
      <c r="D17" s="8" t="s">
        <v>53</v>
      </c>
      <c r="E17" s="9" t="s">
        <v>54</v>
      </c>
      <c r="F17" s="16">
        <v>11637840.5</v>
      </c>
      <c r="G17" s="8" t="s">
        <v>36</v>
      </c>
      <c r="H17" s="8"/>
    </row>
    <row r="18" spans="1:8" ht="16" x14ac:dyDescent="0.15">
      <c r="A18" s="6">
        <v>253</v>
      </c>
      <c r="B18" s="7">
        <v>45483</v>
      </c>
      <c r="C18" s="8" t="s">
        <v>55</v>
      </c>
      <c r="D18" s="8" t="s">
        <v>56</v>
      </c>
      <c r="E18" s="9" t="s">
        <v>57</v>
      </c>
      <c r="F18" s="10" t="s">
        <v>58</v>
      </c>
      <c r="G18" s="8" t="s">
        <v>31</v>
      </c>
      <c r="H18" s="8"/>
    </row>
    <row r="19" spans="1:8" ht="32" x14ac:dyDescent="0.15">
      <c r="A19" s="6">
        <v>254</v>
      </c>
      <c r="B19" s="8"/>
      <c r="C19" s="8" t="s">
        <v>59</v>
      </c>
      <c r="D19" s="8" t="s">
        <v>60</v>
      </c>
      <c r="E19" s="9" t="s">
        <v>61</v>
      </c>
      <c r="F19" s="17">
        <v>366773</v>
      </c>
      <c r="G19" s="8" t="s">
        <v>36</v>
      </c>
      <c r="H19" s="8"/>
    </row>
    <row r="20" spans="1:8" ht="32" x14ac:dyDescent="0.15">
      <c r="A20" s="6">
        <v>255</v>
      </c>
      <c r="B20" s="8"/>
      <c r="C20" s="8" t="s">
        <v>33</v>
      </c>
      <c r="D20" s="8" t="s">
        <v>53</v>
      </c>
      <c r="E20" s="9" t="s">
        <v>62</v>
      </c>
      <c r="F20" s="17">
        <v>1395000</v>
      </c>
      <c r="G20" s="8" t="s">
        <v>36</v>
      </c>
      <c r="H20" s="8"/>
    </row>
    <row r="21" spans="1:8" ht="16" x14ac:dyDescent="0.15">
      <c r="A21" s="6">
        <v>256</v>
      </c>
      <c r="B21" s="7">
        <v>45426</v>
      </c>
      <c r="C21" s="8" t="s">
        <v>63</v>
      </c>
      <c r="D21" s="8" t="s">
        <v>14</v>
      </c>
      <c r="E21" s="9" t="s">
        <v>64</v>
      </c>
      <c r="F21" s="18" t="s">
        <v>65</v>
      </c>
      <c r="G21" s="8" t="s">
        <v>36</v>
      </c>
      <c r="H21" s="8"/>
    </row>
    <row r="22" spans="1:8" ht="16" x14ac:dyDescent="0.2">
      <c r="A22" s="2">
        <v>257</v>
      </c>
      <c r="B22" s="3"/>
      <c r="C22" s="3" t="s">
        <v>11</v>
      </c>
      <c r="D22" s="2" t="s">
        <v>66</v>
      </c>
      <c r="E22" s="19"/>
      <c r="F22" s="20">
        <v>372000</v>
      </c>
      <c r="G22" s="5" t="s">
        <v>36</v>
      </c>
    </row>
    <row r="23" spans="1:8" ht="16" x14ac:dyDescent="0.15">
      <c r="A23" s="6">
        <v>258</v>
      </c>
      <c r="B23" s="8"/>
      <c r="C23" s="8" t="s">
        <v>67</v>
      </c>
      <c r="D23" s="8" t="s">
        <v>68</v>
      </c>
      <c r="E23" s="9" t="s">
        <v>69</v>
      </c>
      <c r="F23" s="21">
        <v>20734574</v>
      </c>
      <c r="G23" s="8" t="s">
        <v>17</v>
      </c>
      <c r="H23" s="8"/>
    </row>
    <row r="24" spans="1:8" ht="16" x14ac:dyDescent="0.2">
      <c r="A24" s="2">
        <v>259</v>
      </c>
      <c r="B24" s="3"/>
      <c r="C24" s="3" t="s">
        <v>70</v>
      </c>
      <c r="D24" s="2" t="s">
        <v>24</v>
      </c>
      <c r="E24" s="2"/>
      <c r="F24" s="4" t="s">
        <v>24</v>
      </c>
      <c r="G24" s="5" t="s">
        <v>31</v>
      </c>
    </row>
    <row r="25" spans="1:8" ht="16" x14ac:dyDescent="0.2">
      <c r="A25" s="2">
        <v>260</v>
      </c>
      <c r="B25" s="3"/>
      <c r="C25" s="3" t="s">
        <v>11</v>
      </c>
      <c r="D25" s="2" t="s">
        <v>71</v>
      </c>
      <c r="E25" s="2"/>
      <c r="F25" s="4" t="s">
        <v>24</v>
      </c>
      <c r="G25" s="5" t="s">
        <v>36</v>
      </c>
    </row>
    <row r="26" spans="1:8" ht="32" x14ac:dyDescent="0.15">
      <c r="A26" s="6">
        <v>261</v>
      </c>
      <c r="B26" s="8"/>
      <c r="C26" s="8" t="s">
        <v>33</v>
      </c>
      <c r="D26" s="8" t="s">
        <v>14</v>
      </c>
      <c r="E26" s="9" t="s">
        <v>72</v>
      </c>
      <c r="F26" s="10" t="s">
        <v>73</v>
      </c>
      <c r="G26" s="8" t="s">
        <v>31</v>
      </c>
      <c r="H26" s="8"/>
    </row>
    <row r="27" spans="1:8" ht="16" x14ac:dyDescent="0.15">
      <c r="A27" s="6">
        <v>262</v>
      </c>
      <c r="B27" s="8"/>
      <c r="C27" s="8" t="s">
        <v>74</v>
      </c>
      <c r="D27" s="8" t="s">
        <v>24</v>
      </c>
      <c r="E27" s="9"/>
      <c r="F27" s="10" t="s">
        <v>75</v>
      </c>
      <c r="G27" s="8" t="s">
        <v>36</v>
      </c>
      <c r="H27" s="8"/>
    </row>
    <row r="28" spans="1:8" ht="16" x14ac:dyDescent="0.15">
      <c r="A28" s="6">
        <v>263</v>
      </c>
      <c r="B28" s="7">
        <v>45441</v>
      </c>
      <c r="C28" s="8" t="s">
        <v>76</v>
      </c>
      <c r="D28" s="8" t="s">
        <v>14</v>
      </c>
      <c r="E28" s="9" t="s">
        <v>77</v>
      </c>
      <c r="F28" s="10" t="s">
        <v>78</v>
      </c>
      <c r="G28" s="8" t="s">
        <v>17</v>
      </c>
      <c r="H28" s="8"/>
    </row>
    <row r="29" spans="1:8" ht="16" x14ac:dyDescent="0.2">
      <c r="A29" s="2">
        <v>264</v>
      </c>
      <c r="B29" s="3"/>
      <c r="C29" s="3" t="s">
        <v>11</v>
      </c>
      <c r="D29" s="2" t="s">
        <v>79</v>
      </c>
      <c r="E29" s="2"/>
      <c r="F29" s="4" t="s">
        <v>80</v>
      </c>
      <c r="G29" s="5"/>
    </row>
    <row r="30" spans="1:8" ht="16" x14ac:dyDescent="0.15">
      <c r="A30" s="6">
        <v>265</v>
      </c>
      <c r="B30" s="7">
        <v>45439</v>
      </c>
      <c r="C30" s="8" t="s">
        <v>81</v>
      </c>
      <c r="D30" s="8" t="s">
        <v>60</v>
      </c>
      <c r="E30" s="9" t="s">
        <v>82</v>
      </c>
      <c r="F30" s="10" t="s">
        <v>83</v>
      </c>
      <c r="G30" s="8" t="s">
        <v>31</v>
      </c>
      <c r="H30" s="8"/>
    </row>
    <row r="31" spans="1:8" ht="16" x14ac:dyDescent="0.15">
      <c r="A31" s="6">
        <v>266</v>
      </c>
      <c r="B31" s="8"/>
      <c r="C31" s="8" t="s">
        <v>33</v>
      </c>
      <c r="D31" s="8" t="s">
        <v>84</v>
      </c>
      <c r="E31" s="9" t="s">
        <v>85</v>
      </c>
      <c r="F31" s="10" t="s">
        <v>86</v>
      </c>
      <c r="G31" s="8" t="s">
        <v>17</v>
      </c>
      <c r="H31" s="8" t="s">
        <v>87</v>
      </c>
    </row>
    <row r="32" spans="1:8" ht="32" x14ac:dyDescent="0.15">
      <c r="A32" s="6">
        <v>267</v>
      </c>
      <c r="B32" s="7">
        <v>45453</v>
      </c>
      <c r="C32" s="8" t="s">
        <v>88</v>
      </c>
      <c r="D32" s="8" t="s">
        <v>89</v>
      </c>
      <c r="E32" s="9" t="s">
        <v>90</v>
      </c>
      <c r="F32" s="10" t="s">
        <v>91</v>
      </c>
      <c r="G32" s="8" t="s">
        <v>31</v>
      </c>
      <c r="H32" s="8"/>
    </row>
    <row r="33" spans="1:10" ht="32" x14ac:dyDescent="0.15">
      <c r="A33" s="6">
        <v>268</v>
      </c>
      <c r="B33" s="7">
        <v>45453</v>
      </c>
      <c r="C33" s="8" t="s">
        <v>88</v>
      </c>
      <c r="D33" s="8" t="s">
        <v>89</v>
      </c>
      <c r="E33" s="9" t="s">
        <v>92</v>
      </c>
      <c r="F33" s="10" t="s">
        <v>93</v>
      </c>
      <c r="G33" s="8" t="s">
        <v>31</v>
      </c>
      <c r="H33" s="8"/>
    </row>
    <row r="34" spans="1:10" ht="32" x14ac:dyDescent="0.15">
      <c r="A34" s="6">
        <v>269</v>
      </c>
      <c r="B34" s="7">
        <v>45453</v>
      </c>
      <c r="C34" s="8" t="s">
        <v>88</v>
      </c>
      <c r="D34" s="8" t="s">
        <v>89</v>
      </c>
      <c r="E34" s="9" t="s">
        <v>94</v>
      </c>
      <c r="F34" s="10" t="s">
        <v>95</v>
      </c>
      <c r="G34" s="8" t="s">
        <v>31</v>
      </c>
      <c r="H34" s="8"/>
    </row>
    <row r="35" spans="1:10" ht="16" x14ac:dyDescent="0.15">
      <c r="A35" s="6">
        <v>270</v>
      </c>
      <c r="B35" s="8"/>
      <c r="C35" s="8" t="s">
        <v>96</v>
      </c>
      <c r="D35" s="8" t="s">
        <v>14</v>
      </c>
      <c r="E35" s="9" t="s">
        <v>97</v>
      </c>
      <c r="F35" s="10"/>
      <c r="G35" s="8" t="s">
        <v>36</v>
      </c>
      <c r="H35" s="8"/>
    </row>
    <row r="36" spans="1:10" ht="32" x14ac:dyDescent="0.15">
      <c r="A36" s="6">
        <v>271</v>
      </c>
      <c r="B36" s="8"/>
      <c r="C36" s="8" t="s">
        <v>22</v>
      </c>
      <c r="D36" s="8" t="s">
        <v>26</v>
      </c>
      <c r="E36" s="9" t="s">
        <v>98</v>
      </c>
      <c r="F36" s="22" t="s">
        <v>99</v>
      </c>
      <c r="G36" s="8" t="s">
        <v>17</v>
      </c>
      <c r="H36" s="8"/>
    </row>
    <row r="37" spans="1:10" ht="16" x14ac:dyDescent="0.2">
      <c r="A37" s="2">
        <v>272</v>
      </c>
      <c r="B37" s="3"/>
      <c r="C37" s="3" t="s">
        <v>11</v>
      </c>
      <c r="D37" s="2" t="s">
        <v>100</v>
      </c>
      <c r="E37" s="2"/>
      <c r="F37" s="4" t="s">
        <v>101</v>
      </c>
      <c r="G37" s="5" t="s">
        <v>31</v>
      </c>
    </row>
    <row r="38" spans="1:10" ht="32" x14ac:dyDescent="0.15">
      <c r="A38" s="6">
        <v>273</v>
      </c>
      <c r="B38" s="8"/>
      <c r="C38" s="8" t="s">
        <v>102</v>
      </c>
      <c r="D38" s="8" t="s">
        <v>103</v>
      </c>
      <c r="E38" s="9" t="s">
        <v>104</v>
      </c>
      <c r="F38" s="16">
        <v>14031084</v>
      </c>
      <c r="G38" s="8" t="s">
        <v>36</v>
      </c>
      <c r="H38" s="8"/>
    </row>
    <row r="39" spans="1:10" ht="16" x14ac:dyDescent="0.15">
      <c r="A39" s="6">
        <v>274</v>
      </c>
      <c r="B39" s="8"/>
      <c r="C39" s="8" t="s">
        <v>105</v>
      </c>
      <c r="D39" s="8" t="s">
        <v>53</v>
      </c>
      <c r="E39" s="9" t="s">
        <v>106</v>
      </c>
      <c r="F39" s="16">
        <v>471429</v>
      </c>
      <c r="G39" s="8" t="s">
        <v>17</v>
      </c>
      <c r="H39" s="8"/>
    </row>
    <row r="40" spans="1:10" ht="16" x14ac:dyDescent="0.2">
      <c r="A40" s="2">
        <v>275</v>
      </c>
      <c r="B40" s="3"/>
      <c r="C40" s="3" t="s">
        <v>107</v>
      </c>
      <c r="D40" s="2" t="s">
        <v>108</v>
      </c>
      <c r="E40" s="19"/>
      <c r="F40" s="20">
        <v>1585644</v>
      </c>
      <c r="G40" s="5" t="s">
        <v>31</v>
      </c>
    </row>
    <row r="41" spans="1:10" ht="16" x14ac:dyDescent="0.15">
      <c r="A41" s="6">
        <v>276</v>
      </c>
      <c r="B41" s="8"/>
      <c r="C41" s="8" t="s">
        <v>109</v>
      </c>
      <c r="D41" s="8" t="s">
        <v>53</v>
      </c>
      <c r="E41" s="23" t="s">
        <v>110</v>
      </c>
      <c r="F41" s="24">
        <v>34449607</v>
      </c>
      <c r="G41" s="8" t="s">
        <v>31</v>
      </c>
      <c r="H41" s="25" t="s">
        <v>111</v>
      </c>
    </row>
    <row r="42" spans="1:10" ht="19" x14ac:dyDescent="0.15">
      <c r="A42" s="6">
        <v>277</v>
      </c>
      <c r="B42" s="8"/>
      <c r="C42" s="8" t="s">
        <v>74</v>
      </c>
      <c r="D42" s="8" t="s">
        <v>50</v>
      </c>
      <c r="E42" s="9" t="s">
        <v>112</v>
      </c>
      <c r="F42" s="10" t="s">
        <v>113</v>
      </c>
      <c r="G42" s="8" t="s">
        <v>36</v>
      </c>
      <c r="H42" s="8"/>
      <c r="J42" s="26" t="s">
        <v>1</v>
      </c>
    </row>
    <row r="43" spans="1:10" ht="16" x14ac:dyDescent="0.2">
      <c r="A43" s="6">
        <v>278</v>
      </c>
      <c r="B43" s="8"/>
      <c r="C43" s="8" t="s">
        <v>81</v>
      </c>
      <c r="D43" s="8" t="s">
        <v>114</v>
      </c>
      <c r="E43" s="9"/>
      <c r="F43" s="10"/>
      <c r="G43" s="8" t="s">
        <v>31</v>
      </c>
      <c r="H43" s="8"/>
      <c r="J43" s="3"/>
    </row>
    <row r="44" spans="1:10" ht="16" x14ac:dyDescent="0.2">
      <c r="A44" s="6">
        <v>279</v>
      </c>
      <c r="B44" s="8"/>
      <c r="C44" s="8" t="s">
        <v>59</v>
      </c>
      <c r="D44" s="8" t="s">
        <v>50</v>
      </c>
      <c r="E44" s="9" t="s">
        <v>115</v>
      </c>
      <c r="F44" s="10" t="s">
        <v>116</v>
      </c>
      <c r="G44" s="8" t="s">
        <v>17</v>
      </c>
      <c r="H44" s="8"/>
      <c r="J44" s="3"/>
    </row>
    <row r="45" spans="1:10" ht="16" x14ac:dyDescent="0.15">
      <c r="A45" s="6">
        <v>280</v>
      </c>
      <c r="B45" s="8"/>
      <c r="C45" s="8" t="s">
        <v>102</v>
      </c>
      <c r="D45" s="8" t="s">
        <v>117</v>
      </c>
      <c r="E45" s="9" t="s">
        <v>118</v>
      </c>
      <c r="F45" s="10" t="s">
        <v>119</v>
      </c>
      <c r="G45" s="8" t="s">
        <v>17</v>
      </c>
      <c r="H45" s="8"/>
      <c r="J45" s="7">
        <v>45338</v>
      </c>
    </row>
    <row r="46" spans="1:10" ht="16" x14ac:dyDescent="0.2">
      <c r="A46" s="6">
        <v>281</v>
      </c>
      <c r="B46" s="8"/>
      <c r="C46" s="8" t="s">
        <v>81</v>
      </c>
      <c r="D46" s="8" t="s">
        <v>53</v>
      </c>
      <c r="E46" s="27" t="s">
        <v>120</v>
      </c>
      <c r="F46" s="16">
        <v>665400</v>
      </c>
      <c r="G46" s="8" t="s">
        <v>17</v>
      </c>
      <c r="H46" s="28"/>
      <c r="J46" s="3"/>
    </row>
    <row r="47" spans="1:10" ht="16" x14ac:dyDescent="0.15">
      <c r="A47" s="6">
        <v>282</v>
      </c>
      <c r="B47" s="8"/>
      <c r="C47" s="8" t="s">
        <v>121</v>
      </c>
      <c r="D47" s="8" t="s">
        <v>122</v>
      </c>
      <c r="E47" s="9" t="s">
        <v>123</v>
      </c>
      <c r="F47" s="16">
        <v>2160404</v>
      </c>
      <c r="G47" s="8" t="s">
        <v>36</v>
      </c>
      <c r="H47" s="8"/>
      <c r="J47" s="7">
        <v>45373</v>
      </c>
    </row>
    <row r="48" spans="1:10" ht="16" x14ac:dyDescent="0.15">
      <c r="A48" s="6">
        <v>283</v>
      </c>
      <c r="B48" s="8"/>
      <c r="C48" s="8" t="s">
        <v>124</v>
      </c>
      <c r="D48" s="8" t="s">
        <v>89</v>
      </c>
      <c r="E48" s="9" t="s">
        <v>89</v>
      </c>
      <c r="F48" s="29" t="s">
        <v>125</v>
      </c>
      <c r="G48" s="8" t="s">
        <v>31</v>
      </c>
      <c r="H48" s="8" t="s">
        <v>126</v>
      </c>
      <c r="J48" s="7">
        <v>45300</v>
      </c>
    </row>
    <row r="49" spans="1:10" ht="16" x14ac:dyDescent="0.2">
      <c r="A49" s="6">
        <v>284</v>
      </c>
      <c r="B49" s="8"/>
      <c r="C49" s="8" t="s">
        <v>124</v>
      </c>
      <c r="D49" s="8" t="s">
        <v>89</v>
      </c>
      <c r="E49" s="9" t="s">
        <v>89</v>
      </c>
      <c r="F49" s="29" t="s">
        <v>127</v>
      </c>
      <c r="G49" s="8" t="s">
        <v>31</v>
      </c>
      <c r="H49" s="8" t="s">
        <v>126</v>
      </c>
      <c r="J49" s="3"/>
    </row>
    <row r="50" spans="1:10" ht="16" x14ac:dyDescent="0.2">
      <c r="A50" s="6">
        <v>285</v>
      </c>
      <c r="B50" s="8"/>
      <c r="C50" s="8" t="s">
        <v>124</v>
      </c>
      <c r="D50" s="8" t="s">
        <v>89</v>
      </c>
      <c r="E50" s="9" t="s">
        <v>89</v>
      </c>
      <c r="F50" s="29" t="s">
        <v>128</v>
      </c>
      <c r="G50" s="8" t="s">
        <v>31</v>
      </c>
      <c r="H50" s="8" t="s">
        <v>126</v>
      </c>
      <c r="J50" s="3"/>
    </row>
    <row r="51" spans="1:10" ht="32" x14ac:dyDescent="0.15">
      <c r="A51" s="6">
        <v>286</v>
      </c>
      <c r="B51" s="8"/>
      <c r="C51" s="8" t="s">
        <v>81</v>
      </c>
      <c r="D51" s="8" t="s">
        <v>129</v>
      </c>
      <c r="E51" s="9" t="s">
        <v>130</v>
      </c>
      <c r="F51" s="16">
        <v>568200</v>
      </c>
      <c r="G51" s="8" t="s">
        <v>17</v>
      </c>
      <c r="H51" s="8"/>
      <c r="J51" s="8"/>
    </row>
    <row r="52" spans="1:10" ht="48" x14ac:dyDescent="0.2">
      <c r="A52" s="6">
        <v>287</v>
      </c>
      <c r="B52" s="8"/>
      <c r="C52" s="8" t="s">
        <v>131</v>
      </c>
      <c r="D52" s="8" t="s">
        <v>129</v>
      </c>
      <c r="E52" s="9" t="s">
        <v>132</v>
      </c>
      <c r="F52" s="16">
        <v>1642817</v>
      </c>
      <c r="G52" s="8" t="s">
        <v>17</v>
      </c>
      <c r="H52" s="8" t="s">
        <v>133</v>
      </c>
      <c r="J52" s="3"/>
    </row>
    <row r="53" spans="1:10" ht="16" x14ac:dyDescent="0.15">
      <c r="A53" s="6">
        <v>288</v>
      </c>
      <c r="B53" s="8"/>
      <c r="C53" s="8" t="s">
        <v>59</v>
      </c>
      <c r="D53" s="8" t="s">
        <v>50</v>
      </c>
      <c r="E53" s="9" t="s">
        <v>134</v>
      </c>
      <c r="F53" s="16" t="s">
        <v>135</v>
      </c>
      <c r="G53" s="8" t="s">
        <v>17</v>
      </c>
      <c r="H53" s="8" t="s">
        <v>133</v>
      </c>
      <c r="J53" s="8"/>
    </row>
    <row r="54" spans="1:10" ht="32" x14ac:dyDescent="0.15">
      <c r="A54" s="6">
        <v>289</v>
      </c>
      <c r="B54" s="8"/>
      <c r="C54" s="8" t="s">
        <v>76</v>
      </c>
      <c r="D54" s="8" t="s">
        <v>53</v>
      </c>
      <c r="E54" s="9" t="s">
        <v>136</v>
      </c>
      <c r="F54" s="16" t="s">
        <v>137</v>
      </c>
      <c r="G54" s="8" t="s">
        <v>31</v>
      </c>
      <c r="H54" s="8"/>
      <c r="J54" s="8"/>
    </row>
    <row r="55" spans="1:10" ht="16" x14ac:dyDescent="0.15">
      <c r="A55" s="6">
        <v>290</v>
      </c>
      <c r="B55" s="7">
        <v>45525</v>
      </c>
      <c r="C55" s="8" t="s">
        <v>138</v>
      </c>
      <c r="D55" s="8" t="s">
        <v>139</v>
      </c>
      <c r="E55" s="30" t="s">
        <v>140</v>
      </c>
      <c r="F55" s="16">
        <v>34101996</v>
      </c>
      <c r="G55" s="8" t="s">
        <v>17</v>
      </c>
      <c r="H55" s="31" t="s">
        <v>141</v>
      </c>
      <c r="J55" s="7">
        <v>45355</v>
      </c>
    </row>
    <row r="56" spans="1:10" ht="16" x14ac:dyDescent="0.2">
      <c r="A56" s="6">
        <v>291</v>
      </c>
      <c r="B56" s="7">
        <v>45525</v>
      </c>
      <c r="C56" s="8" t="s">
        <v>131</v>
      </c>
      <c r="D56" s="8" t="s">
        <v>142</v>
      </c>
      <c r="E56" s="30" t="s">
        <v>143</v>
      </c>
      <c r="F56" s="16">
        <v>33505599</v>
      </c>
      <c r="G56" s="8" t="s">
        <v>17</v>
      </c>
      <c r="H56" s="32" t="s">
        <v>144</v>
      </c>
      <c r="J56" s="3"/>
    </row>
    <row r="57" spans="1:10" ht="16" x14ac:dyDescent="0.15">
      <c r="A57" s="6">
        <v>292</v>
      </c>
      <c r="B57" s="7">
        <v>45526</v>
      </c>
      <c r="C57" s="8" t="s">
        <v>145</v>
      </c>
      <c r="D57" s="8" t="s">
        <v>146</v>
      </c>
      <c r="E57" s="30" t="s">
        <v>118</v>
      </c>
      <c r="F57" s="16">
        <v>8537501</v>
      </c>
      <c r="G57" s="8" t="s">
        <v>31</v>
      </c>
      <c r="H57" s="31" t="s">
        <v>147</v>
      </c>
      <c r="J57" s="7">
        <v>45387</v>
      </c>
    </row>
    <row r="58" spans="1:10" ht="16" x14ac:dyDescent="0.15">
      <c r="A58" s="6">
        <v>293</v>
      </c>
      <c r="B58" s="7">
        <v>45527</v>
      </c>
      <c r="C58" s="8" t="s">
        <v>131</v>
      </c>
      <c r="D58" s="8" t="s">
        <v>53</v>
      </c>
      <c r="E58" s="30" t="s">
        <v>148</v>
      </c>
      <c r="F58" s="16">
        <v>1171799</v>
      </c>
      <c r="G58" s="8" t="s">
        <v>17</v>
      </c>
      <c r="H58" s="31" t="s">
        <v>149</v>
      </c>
      <c r="J58" s="8"/>
    </row>
    <row r="59" spans="1:10" ht="16" x14ac:dyDescent="0.15">
      <c r="A59" s="6">
        <v>294</v>
      </c>
      <c r="B59" s="33">
        <v>45532</v>
      </c>
      <c r="C59" s="8" t="s">
        <v>105</v>
      </c>
      <c r="D59" s="8" t="s">
        <v>50</v>
      </c>
      <c r="E59" s="30" t="s">
        <v>150</v>
      </c>
      <c r="F59" s="16">
        <v>1176985</v>
      </c>
      <c r="G59" s="8" t="s">
        <v>17</v>
      </c>
      <c r="H59" s="31" t="s">
        <v>151</v>
      </c>
      <c r="J59" s="7">
        <v>45483</v>
      </c>
    </row>
    <row r="60" spans="1:10" ht="32" x14ac:dyDescent="0.15">
      <c r="A60" s="6">
        <v>295</v>
      </c>
      <c r="B60" s="7">
        <v>45545</v>
      </c>
      <c r="C60" s="8" t="s">
        <v>59</v>
      </c>
      <c r="D60" s="8" t="s">
        <v>152</v>
      </c>
      <c r="E60" s="30" t="s">
        <v>153</v>
      </c>
      <c r="F60" s="16"/>
      <c r="G60" s="8" t="s">
        <v>31</v>
      </c>
      <c r="H60" s="31" t="s">
        <v>154</v>
      </c>
      <c r="J60" s="8"/>
    </row>
    <row r="61" spans="1:10" ht="16" x14ac:dyDescent="0.15">
      <c r="A61" s="6">
        <v>296</v>
      </c>
      <c r="B61" s="7">
        <v>45545</v>
      </c>
      <c r="C61" s="8" t="s">
        <v>155</v>
      </c>
      <c r="D61" s="8" t="s">
        <v>156</v>
      </c>
      <c r="E61" s="30" t="s">
        <v>157</v>
      </c>
      <c r="F61" s="16" t="s">
        <v>125</v>
      </c>
      <c r="G61" s="8" t="s">
        <v>31</v>
      </c>
      <c r="H61" s="31" t="s">
        <v>158</v>
      </c>
      <c r="J61" s="8"/>
    </row>
    <row r="62" spans="1:10" ht="16" x14ac:dyDescent="0.15">
      <c r="A62" s="6">
        <v>297</v>
      </c>
      <c r="B62" s="7">
        <v>45545</v>
      </c>
      <c r="C62" s="8" t="s">
        <v>155</v>
      </c>
      <c r="D62" s="8" t="s">
        <v>156</v>
      </c>
      <c r="E62" s="30" t="s">
        <v>159</v>
      </c>
      <c r="F62" s="16" t="s">
        <v>127</v>
      </c>
      <c r="G62" s="8" t="s">
        <v>31</v>
      </c>
      <c r="H62" s="31" t="s">
        <v>158</v>
      </c>
      <c r="J62" s="7">
        <v>45426</v>
      </c>
    </row>
    <row r="63" spans="1:10" ht="16" x14ac:dyDescent="0.2">
      <c r="A63" s="6">
        <v>298</v>
      </c>
      <c r="B63" s="7">
        <v>45545</v>
      </c>
      <c r="C63" s="8" t="s">
        <v>155</v>
      </c>
      <c r="D63" s="8" t="s">
        <v>156</v>
      </c>
      <c r="E63" s="30" t="s">
        <v>160</v>
      </c>
      <c r="F63" s="16" t="s">
        <v>128</v>
      </c>
      <c r="G63" s="8" t="s">
        <v>31</v>
      </c>
      <c r="H63" s="31" t="s">
        <v>158</v>
      </c>
      <c r="J63" s="3"/>
    </row>
    <row r="64" spans="1:10" ht="16" x14ac:dyDescent="0.15">
      <c r="A64" s="6">
        <v>299</v>
      </c>
      <c r="B64" s="7">
        <v>45552</v>
      </c>
      <c r="C64" s="34" t="s">
        <v>161</v>
      </c>
      <c r="D64" s="8" t="s">
        <v>162</v>
      </c>
      <c r="E64" s="30" t="s">
        <v>118</v>
      </c>
      <c r="F64" s="16">
        <v>8733415</v>
      </c>
      <c r="G64" s="8" t="s">
        <v>31</v>
      </c>
      <c r="H64" s="35" t="s">
        <v>15</v>
      </c>
      <c r="J64" s="8"/>
    </row>
    <row r="65" spans="1:10" ht="16" x14ac:dyDescent="0.2">
      <c r="A65" s="6">
        <v>300</v>
      </c>
      <c r="B65" s="7">
        <v>45558</v>
      </c>
      <c r="C65" s="34" t="s">
        <v>163</v>
      </c>
      <c r="D65" s="8" t="s">
        <v>164</v>
      </c>
      <c r="E65" s="30" t="s">
        <v>165</v>
      </c>
      <c r="F65" s="16" t="s">
        <v>166</v>
      </c>
      <c r="G65" s="8" t="s">
        <v>31</v>
      </c>
      <c r="H65" s="35" t="s">
        <v>167</v>
      </c>
      <c r="J65" s="3"/>
    </row>
    <row r="66" spans="1:10" ht="16" x14ac:dyDescent="0.2">
      <c r="A66" s="6">
        <v>301</v>
      </c>
      <c r="B66" s="7">
        <v>45560</v>
      </c>
      <c r="C66" s="34" t="s">
        <v>168</v>
      </c>
      <c r="D66" s="8" t="s">
        <v>53</v>
      </c>
      <c r="E66" s="30" t="s">
        <v>169</v>
      </c>
      <c r="F66" s="16">
        <v>6551015</v>
      </c>
      <c r="G66" s="8" t="s">
        <v>31</v>
      </c>
      <c r="H66" s="35" t="s">
        <v>170</v>
      </c>
      <c r="J66" s="3"/>
    </row>
    <row r="67" spans="1:10" ht="16" x14ac:dyDescent="0.15">
      <c r="A67" s="6">
        <v>302</v>
      </c>
      <c r="B67" s="33">
        <v>45568</v>
      </c>
      <c r="C67" s="34" t="s">
        <v>155</v>
      </c>
      <c r="D67" s="8" t="s">
        <v>89</v>
      </c>
      <c r="E67" s="30" t="s">
        <v>171</v>
      </c>
      <c r="F67" s="16" t="s">
        <v>172</v>
      </c>
      <c r="G67" s="8" t="s">
        <v>31</v>
      </c>
      <c r="H67" s="35" t="s">
        <v>158</v>
      </c>
      <c r="J67" s="8"/>
    </row>
    <row r="68" spans="1:10" ht="16" x14ac:dyDescent="0.15">
      <c r="A68" s="6">
        <v>303</v>
      </c>
      <c r="B68" s="33">
        <v>45569</v>
      </c>
      <c r="C68" s="34" t="s">
        <v>81</v>
      </c>
      <c r="D68" s="8" t="s">
        <v>129</v>
      </c>
      <c r="E68" s="30" t="s">
        <v>173</v>
      </c>
      <c r="F68" s="16">
        <v>2855352</v>
      </c>
      <c r="G68" s="8" t="s">
        <v>31</v>
      </c>
      <c r="H68" s="35" t="s">
        <v>173</v>
      </c>
      <c r="J68" s="8"/>
    </row>
    <row r="69" spans="1:10" ht="16" x14ac:dyDescent="0.15">
      <c r="A69" s="6">
        <v>304</v>
      </c>
      <c r="B69" s="33">
        <v>45569</v>
      </c>
      <c r="C69" s="34" t="s">
        <v>81</v>
      </c>
      <c r="D69" s="8" t="s">
        <v>129</v>
      </c>
      <c r="E69" s="30" t="s">
        <v>174</v>
      </c>
      <c r="F69" s="16">
        <v>501136</v>
      </c>
      <c r="G69" s="8" t="s">
        <v>31</v>
      </c>
      <c r="H69" s="35" t="s">
        <v>175</v>
      </c>
      <c r="J69" s="7">
        <v>45441</v>
      </c>
    </row>
    <row r="70" spans="1:10" ht="16" x14ac:dyDescent="0.2">
      <c r="A70" s="6">
        <v>305</v>
      </c>
      <c r="B70" s="33">
        <v>45569</v>
      </c>
      <c r="C70" s="34" t="s">
        <v>121</v>
      </c>
      <c r="D70" s="8" t="s">
        <v>60</v>
      </c>
      <c r="E70" s="36" t="s">
        <v>118</v>
      </c>
      <c r="F70" s="16">
        <v>8100053</v>
      </c>
      <c r="G70" s="8" t="s">
        <v>31</v>
      </c>
      <c r="H70" s="35" t="s">
        <v>176</v>
      </c>
      <c r="J70" s="3"/>
    </row>
    <row r="71" spans="1:10" ht="16" x14ac:dyDescent="0.15">
      <c r="A71" s="6">
        <v>306</v>
      </c>
      <c r="B71" s="33">
        <v>45570</v>
      </c>
      <c r="C71" s="34" t="s">
        <v>59</v>
      </c>
      <c r="D71" s="8" t="s">
        <v>177</v>
      </c>
      <c r="E71" s="36" t="s">
        <v>178</v>
      </c>
      <c r="F71" s="16" t="s">
        <v>179</v>
      </c>
      <c r="G71" s="8" t="s">
        <v>31</v>
      </c>
      <c r="H71" s="35" t="s">
        <v>158</v>
      </c>
      <c r="J71" s="7">
        <v>45439</v>
      </c>
    </row>
    <row r="72" spans="1:10" ht="16" x14ac:dyDescent="0.2">
      <c r="A72" s="2">
        <v>307</v>
      </c>
      <c r="B72" s="33">
        <v>45570</v>
      </c>
      <c r="C72" s="34" t="s">
        <v>59</v>
      </c>
      <c r="D72" s="8" t="s">
        <v>177</v>
      </c>
      <c r="E72" s="36" t="s">
        <v>180</v>
      </c>
      <c r="F72" s="16" t="s">
        <v>181</v>
      </c>
      <c r="G72" s="8" t="s">
        <v>31</v>
      </c>
      <c r="H72" s="35" t="s">
        <v>158</v>
      </c>
      <c r="J72" s="8"/>
    </row>
    <row r="73" spans="1:10" ht="16" x14ac:dyDescent="0.2">
      <c r="A73" s="2">
        <v>308</v>
      </c>
      <c r="B73" s="33">
        <v>45570</v>
      </c>
      <c r="C73" s="34" t="s">
        <v>59</v>
      </c>
      <c r="D73" s="8" t="s">
        <v>177</v>
      </c>
      <c r="E73" s="36" t="s">
        <v>182</v>
      </c>
      <c r="F73" s="16" t="s">
        <v>183</v>
      </c>
      <c r="G73" s="8" t="s">
        <v>31</v>
      </c>
      <c r="H73" s="35" t="s">
        <v>158</v>
      </c>
      <c r="J73" s="7">
        <v>45453</v>
      </c>
    </row>
    <row r="74" spans="1:10" ht="16" x14ac:dyDescent="0.2">
      <c r="A74" s="2">
        <v>309</v>
      </c>
      <c r="B74" s="37">
        <v>45573</v>
      </c>
      <c r="C74" s="3" t="s">
        <v>74</v>
      </c>
      <c r="D74" s="5" t="s">
        <v>184</v>
      </c>
      <c r="E74" s="38" t="s">
        <v>50</v>
      </c>
      <c r="F74" s="20">
        <v>7945780</v>
      </c>
      <c r="G74" s="8" t="s">
        <v>31</v>
      </c>
      <c r="H74" s="39" t="s">
        <v>185</v>
      </c>
      <c r="J74" s="7">
        <v>45453</v>
      </c>
    </row>
    <row r="75" spans="1:10" ht="16" x14ac:dyDescent="0.2">
      <c r="A75" s="40">
        <v>310</v>
      </c>
      <c r="B75" s="41">
        <v>45582</v>
      </c>
      <c r="C75" s="42" t="s">
        <v>22</v>
      </c>
      <c r="D75" s="43" t="s">
        <v>53</v>
      </c>
      <c r="E75" s="44" t="s">
        <v>69</v>
      </c>
      <c r="F75" s="45">
        <v>22243813</v>
      </c>
      <c r="G75" s="8" t="s">
        <v>17</v>
      </c>
      <c r="H75" s="39" t="s">
        <v>186</v>
      </c>
      <c r="J75" s="7">
        <v>45453</v>
      </c>
    </row>
    <row r="76" spans="1:10" ht="16" x14ac:dyDescent="0.2">
      <c r="A76" s="2">
        <v>311</v>
      </c>
      <c r="B76" s="37">
        <v>45587</v>
      </c>
      <c r="C76" s="3" t="s">
        <v>187</v>
      </c>
      <c r="D76" s="5" t="s">
        <v>60</v>
      </c>
      <c r="E76" s="38" t="s">
        <v>188</v>
      </c>
      <c r="F76" s="20">
        <v>20872166</v>
      </c>
      <c r="G76" s="8" t="s">
        <v>31</v>
      </c>
      <c r="H76" s="39" t="s">
        <v>189</v>
      </c>
      <c r="J76" s="8"/>
    </row>
    <row r="77" spans="1:10" ht="16" x14ac:dyDescent="0.2">
      <c r="A77" s="2">
        <v>312</v>
      </c>
      <c r="B77" s="37">
        <v>45589</v>
      </c>
      <c r="C77" s="3" t="s">
        <v>81</v>
      </c>
      <c r="D77" s="5" t="s">
        <v>129</v>
      </c>
      <c r="E77" s="38" t="s">
        <v>190</v>
      </c>
      <c r="F77" s="20">
        <v>3454975</v>
      </c>
      <c r="G77" s="8" t="s">
        <v>31</v>
      </c>
      <c r="H77" s="39" t="s">
        <v>191</v>
      </c>
      <c r="J77" s="8"/>
    </row>
    <row r="78" spans="1:10" ht="16" x14ac:dyDescent="0.2">
      <c r="A78" s="2">
        <v>313</v>
      </c>
      <c r="B78" s="37">
        <v>45589</v>
      </c>
      <c r="C78" s="3" t="s">
        <v>192</v>
      </c>
      <c r="D78" s="5" t="s">
        <v>193</v>
      </c>
      <c r="E78" s="38" t="s">
        <v>194</v>
      </c>
      <c r="F78" s="20">
        <v>9869493</v>
      </c>
      <c r="G78" s="8" t="s">
        <v>17</v>
      </c>
      <c r="H78" s="39" t="s">
        <v>195</v>
      </c>
      <c r="J78" s="3"/>
    </row>
    <row r="79" spans="1:10" ht="16" x14ac:dyDescent="0.2">
      <c r="A79" s="40">
        <v>314</v>
      </c>
      <c r="B79" s="41">
        <v>45596</v>
      </c>
      <c r="C79" s="42" t="s">
        <v>105</v>
      </c>
      <c r="D79" s="43" t="s">
        <v>50</v>
      </c>
      <c r="E79" s="44" t="s">
        <v>196</v>
      </c>
      <c r="F79" s="45">
        <v>3870363</v>
      </c>
      <c r="G79" s="8" t="s">
        <v>17</v>
      </c>
      <c r="H79" s="39" t="s">
        <v>197</v>
      </c>
      <c r="J79" s="8"/>
    </row>
    <row r="80" spans="1:10" ht="16" x14ac:dyDescent="0.2">
      <c r="A80" s="46">
        <v>315</v>
      </c>
      <c r="B80" s="47">
        <v>45601</v>
      </c>
      <c r="C80" s="48" t="s">
        <v>22</v>
      </c>
      <c r="D80" s="49" t="s">
        <v>53</v>
      </c>
      <c r="E80" s="50" t="s">
        <v>198</v>
      </c>
      <c r="F80" s="51">
        <v>28553207</v>
      </c>
      <c r="G80" s="8" t="s">
        <v>17</v>
      </c>
      <c r="H80" s="39" t="s">
        <v>199</v>
      </c>
      <c r="J80" s="8"/>
    </row>
    <row r="81" spans="1:10" ht="16" x14ac:dyDescent="0.2">
      <c r="A81" s="2">
        <v>316</v>
      </c>
      <c r="B81" s="37">
        <v>45602</v>
      </c>
      <c r="C81" s="3" t="s">
        <v>200</v>
      </c>
      <c r="D81" s="5" t="s">
        <v>129</v>
      </c>
      <c r="E81" s="38" t="s">
        <v>201</v>
      </c>
      <c r="F81" s="20">
        <v>7612098</v>
      </c>
      <c r="G81" s="8" t="s">
        <v>31</v>
      </c>
      <c r="H81" s="39" t="s">
        <v>202</v>
      </c>
      <c r="J81" s="3"/>
    </row>
    <row r="82" spans="1:10" ht="16" x14ac:dyDescent="0.2">
      <c r="A82" s="40">
        <v>317</v>
      </c>
      <c r="B82" s="41">
        <v>45608</v>
      </c>
      <c r="C82" s="42" t="s">
        <v>520</v>
      </c>
      <c r="D82" s="43" t="s">
        <v>50</v>
      </c>
      <c r="E82" s="44" t="s">
        <v>198</v>
      </c>
      <c r="F82" s="45">
        <v>18164210</v>
      </c>
      <c r="G82" s="8" t="s">
        <v>17</v>
      </c>
      <c r="H82" s="39" t="s">
        <v>204</v>
      </c>
      <c r="J82" s="8"/>
    </row>
    <row r="83" spans="1:10" ht="16" x14ac:dyDescent="0.2">
      <c r="A83" s="2">
        <v>318</v>
      </c>
      <c r="B83" s="37">
        <v>45609</v>
      </c>
      <c r="C83" s="3" t="s">
        <v>81</v>
      </c>
      <c r="D83" s="5" t="s">
        <v>60</v>
      </c>
      <c r="E83" s="38" t="s">
        <v>205</v>
      </c>
      <c r="F83" s="20">
        <v>870295</v>
      </c>
      <c r="G83" s="8" t="s">
        <v>31</v>
      </c>
      <c r="H83" s="39" t="s">
        <v>206</v>
      </c>
      <c r="J83" s="8"/>
    </row>
    <row r="84" spans="1:10" ht="16" x14ac:dyDescent="0.2">
      <c r="A84" s="2">
        <v>319</v>
      </c>
      <c r="B84" s="37">
        <v>45615</v>
      </c>
      <c r="C84" s="3" t="s">
        <v>59</v>
      </c>
      <c r="D84" s="5" t="s">
        <v>60</v>
      </c>
      <c r="E84" s="38" t="s">
        <v>207</v>
      </c>
      <c r="F84" s="52">
        <v>1994726</v>
      </c>
      <c r="G84" s="8" t="s">
        <v>31</v>
      </c>
      <c r="H84" s="39" t="s">
        <v>208</v>
      </c>
      <c r="J84" s="8"/>
    </row>
  </sheetData>
  <dataValidations count="1">
    <dataValidation type="list" allowBlank="1" showErrorMessage="1" sqref="G2:G84" xr:uid="{00000000-0002-0000-0300-000000000000}">
      <formula1>"NO APROBADO,APROBADO,COTIZADO,SIN EFECTO"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PRESUPUESTOS</vt:lpstr>
      <vt:lpstr>VENTAS</vt:lpstr>
      <vt:lpstr>HISTORICO</vt:lpstr>
      <vt:lpstr>2024 Cotizaciones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Paganini</cp:lastModifiedBy>
  <dcterms:modified xsi:type="dcterms:W3CDTF">2026-01-30T11:39:36Z</dcterms:modified>
</cp:coreProperties>
</file>